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20.240\Policy\Center\PIM_โครงการที่ขอในแต่ละปีงบประมาณ\โครงการปี 67\D6603_บก.ทล._SS_MA โครงการลดอุบัติเหตุทางถนน\"/>
    </mc:Choice>
  </mc:AlternateContent>
  <xr:revisionPtr revIDLastSave="0" documentId="13_ncr:1_{969F781C-CC2E-4B29-99F1-407D1291DA97}" xr6:coauthVersionLast="47" xr6:coauthVersionMax="47" xr10:uidLastSave="{00000000-0000-0000-0000-000000000000}"/>
  <bookViews>
    <workbookView xWindow="21480" yWindow="-120" windowWidth="24240" windowHeight="13020" xr2:uid="{9C08A859-1FAA-46B3-8471-1128C8966E31}"/>
  </bookViews>
  <sheets>
    <sheet name="คำนวณ" sheetId="1" r:id="rId1"/>
    <sheet name="รายการในโครงการเดิ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20" i="1" s="1"/>
  <c r="D12" i="1"/>
  <c r="K12" i="1" s="1"/>
  <c r="C28" i="1"/>
  <c r="J12" i="1" l="1"/>
  <c r="H20" i="1"/>
  <c r="H28" i="1" s="1"/>
  <c r="H29" i="1" s="1"/>
  <c r="J20" i="1"/>
  <c r="I20" i="1"/>
  <c r="I28" i="1" s="1"/>
  <c r="I29" i="1" s="1"/>
  <c r="J28" i="1"/>
  <c r="J29" i="1" s="1"/>
  <c r="K28" i="1"/>
  <c r="K29" i="1" s="1"/>
  <c r="D28" i="1"/>
</calcChain>
</file>

<file path=xl/sharedStrings.xml><?xml version="1.0" encoding="utf-8"?>
<sst xmlns="http://schemas.openxmlformats.org/spreadsheetml/2006/main" count="38" uniqueCount="37">
  <si>
    <t>HW</t>
  </si>
  <si>
    <t>SW</t>
  </si>
  <si>
    <t>ฝึกอบรม</t>
  </si>
  <si>
    <t>บุคลากร</t>
  </si>
  <si>
    <t>รวม</t>
  </si>
  <si>
    <t>ปีที่ 1</t>
  </si>
  <si>
    <t>ปีที่ 2</t>
  </si>
  <si>
    <t>ปีที่ 3</t>
  </si>
  <si>
    <t>ปีที่ 4</t>
  </si>
  <si>
    <t>ปีที่ 5 เป็นต้นไป</t>
  </si>
  <si>
    <t>ระยะประกัน</t>
  </si>
  <si>
    <t>29 มี.ค. 65 – 28 มี.ค. 66</t>
  </si>
  <si>
    <t>29 มี.ค. 66 – 28 มี.ค. 67</t>
  </si>
  <si>
    <t>29 มี.ค. 67 – 28 มี.ค. 68</t>
  </si>
  <si>
    <t>29 มี.ค. 68 – 28 มี.ค. 69</t>
  </si>
  <si>
    <t>29 มี.ค. 69 เป็นต้นไป</t>
  </si>
  <si>
    <t>กล้องตรวจจับการกระทำความผิดฯ</t>
  </si>
  <si>
    <t>เรดาห์สำหรับตรวจวัดความเร็ว</t>
  </si>
  <si>
    <t>กล้องวงจรปิด</t>
  </si>
  <si>
    <t>Terminal Server</t>
  </si>
  <si>
    <t>IR Supplement Light</t>
  </si>
  <si>
    <t>VPN Router</t>
  </si>
  <si>
    <t>เครื่องสำรองไฟฟ้า</t>
  </si>
  <si>
    <t>ตู้จัดเก็บอุปกรณ์ภายนอกอาหาร</t>
  </si>
  <si>
    <t>คานเหล็กและอุปกรณ์ฯ</t>
  </si>
  <si>
    <t>ป้ายเตือนตรวจจับฯ</t>
  </si>
  <si>
    <t>ซอฟต์แวร์บริหารจัดการ</t>
  </si>
  <si>
    <t>ซอฟต์แวร์บันทึกข้อมูล</t>
  </si>
  <si>
    <t>บุคลากรทั้งหมด</t>
  </si>
  <si>
    <t>เช่า Internet</t>
  </si>
  <si>
    <t>ลำดับ</t>
  </si>
  <si>
    <t>รายการ</t>
  </si>
  <si>
    <t>ไม่นำมาคิด
ในMA ระบบ</t>
  </si>
  <si>
    <t>ราคาต่อ 1 ปี</t>
  </si>
  <si>
    <t>ราคาต่อ 1 เดือน</t>
  </si>
  <si>
    <t>งานติดตั้งอุปกรณ์ งานไฟฟ้าฯ</t>
  </si>
  <si>
    <t>MA 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</si>
</sst>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7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/>
    <xf numFmtId="164" fontId="12" fillId="3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5" fillId="0" borderId="1" xfId="0" applyFont="1" applyBorder="1" applyAlignment="1">
      <alignment horizontal="center"/>
    </xf>
    <xf numFmtId="164" fontId="12" fillId="4" borderId="1" xfId="1" applyNumberFormat="1" applyFont="1" applyFill="1" applyBorder="1"/>
    <xf numFmtId="164" fontId="8" fillId="4" borderId="1" xfId="1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9" fontId="8" fillId="3" borderId="1" xfId="0" applyNumberFormat="1" applyFont="1" applyFill="1" applyBorder="1" applyAlignment="1">
      <alignment horizontal="center"/>
    </xf>
    <xf numFmtId="0" fontId="11" fillId="0" borderId="0" xfId="0" applyFont="1" applyAlignment="1"/>
    <xf numFmtId="164" fontId="11" fillId="5" borderId="1" xfId="0" applyNumberFormat="1" applyFont="1" applyFill="1" applyBorder="1"/>
    <xf numFmtId="0" fontId="10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wrapText="1"/>
    </xf>
    <xf numFmtId="164" fontId="12" fillId="4" borderId="0" xfId="0" applyNumberFormat="1" applyFont="1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12" fillId="3" borderId="1" xfId="0" applyFont="1" applyFill="1" applyBorder="1"/>
    <xf numFmtId="0" fontId="11" fillId="6" borderId="1" xfId="0" applyFont="1" applyFill="1" applyBorder="1"/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2" fillId="4" borderId="2" xfId="0" applyFont="1" applyFill="1" applyBorder="1" applyAlignment="1">
      <alignment horizontal="right"/>
    </xf>
    <xf numFmtId="0" fontId="12" fillId="4" borderId="3" xfId="0" applyFont="1" applyFill="1" applyBorder="1" applyAlignment="1">
      <alignment horizontal="right"/>
    </xf>
    <xf numFmtId="0" fontId="8" fillId="0" borderId="0" xfId="0" applyFont="1" applyFill="1" applyAlignment="1">
      <alignment horizont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657225</xdr:colOff>
      <xdr:row>0</xdr:row>
      <xdr:rowOff>66675</xdr:rowOff>
    </xdr:from>
    <xdr:to>
      <xdr:col>10</xdr:col>
      <xdr:colOff>763269</xdr:colOff>
      <xdr:row>5</xdr:row>
      <xdr:rowOff>157480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44192-9181-4924-B749-C1812A2E043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66675"/>
          <a:ext cx="5732145" cy="104330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0</xdr:row>
      <xdr:rowOff>46567</xdr:rowOff>
    </xdr:from>
    <xdr:to>
      <xdr:col>5</xdr:col>
      <xdr:colOff>52917</xdr:colOff>
      <xdr:row>8</xdr:row>
      <xdr:rowOff>57314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9C09B0-A20F-4449-B613-A194D86A43C9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46567"/>
          <a:ext cx="4720167" cy="1534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323849</xdr:colOff>
      <xdr:row>27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7422F-08E5-47BD-AC74-D87A7F81F168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r="9271"/>
        <a:stretch/>
      </xdr:blipFill>
      <xdr:spPr>
        <a:xfrm>
          <a:off x="0" y="0"/>
          <a:ext cx="5200649" cy="5193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47625</xdr:rowOff>
    </xdr:from>
    <xdr:to>
      <xdr:col>8</xdr:col>
      <xdr:colOff>333375</xdr:colOff>
      <xdr:row>51</xdr:row>
      <xdr:rowOff>13970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77DB9E-9F2E-40FB-A3B1-126ACE64504B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r="9106"/>
        <a:stretch/>
      </xdr:blipFill>
      <xdr:spPr>
        <a:xfrm>
          <a:off x="0" y="5191125"/>
          <a:ext cx="5210175" cy="45383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9526</xdr:rowOff>
    </xdr:from>
    <xdr:to>
      <xdr:col>8</xdr:col>
      <xdr:colOff>323850</xdr:colOff>
      <xdr:row>58</xdr:row>
      <xdr:rowOff>180976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4EF4B4-3579-46D3-AD18-9CE60B900EC8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t="14523" r="17523" b="35593"/>
        <a:stretch/>
      </xdr:blipFill>
      <xdr:spPr>
        <a:xfrm>
          <a:off x="0" y="9725026"/>
          <a:ext cx="5200650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A8B5-2032-45B7-8632-F484400797C4}">
  <sheetPr>
    <pageSetUpPr fitToPage="1"/>
  </sheetPr>
  <dimension ref="A8:L33"/>
  <sheetViews>
    <sheetView tabSelected="1" topLeftCell="A4" zoomScale="90" zoomScaleNormal="90" workbookViewId="0">
      <selection activeCell="D20" sqref="D20:D23"/>
    </sheetView>
  </sheetViews>
  <sheetFormatPr defaultRowHeight="15"/>
  <cols>
    <col min="1" max="1" width="6.85546875" customWidth="1"/>
    <col min="2" max="2" width="30.42578125" bestFit="1" customWidth="1"/>
    <col min="3" max="3" width="12.7109375" bestFit="1" customWidth="1"/>
    <col min="4" max="4" width="12.7109375" customWidth="1"/>
    <col min="6" max="6" width="2.5703125" style="1" customWidth="1"/>
    <col min="7" max="7" width="20.85546875" bestFit="1" customWidth="1"/>
    <col min="8" max="10" width="21.140625" bestFit="1" customWidth="1"/>
    <col min="11" max="11" width="19.85546875" bestFit="1" customWidth="1"/>
    <col min="12" max="12" width="21" bestFit="1" customWidth="1"/>
  </cols>
  <sheetData>
    <row r="8" spans="1:11">
      <c r="G8" s="32" t="s">
        <v>36</v>
      </c>
      <c r="H8" s="32"/>
      <c r="I8" s="32"/>
      <c r="J8" s="32"/>
      <c r="K8" s="32"/>
    </row>
    <row r="9" spans="1:11" s="2" customFormat="1">
      <c r="A9" s="52"/>
      <c r="B9" s="52"/>
      <c r="C9" s="52"/>
      <c r="D9" s="52"/>
      <c r="E9" s="52"/>
      <c r="F9" s="52"/>
      <c r="G9" s="19" t="s">
        <v>5</v>
      </c>
      <c r="H9" s="19" t="s">
        <v>6</v>
      </c>
      <c r="I9" s="19" t="s">
        <v>7</v>
      </c>
      <c r="J9" s="19" t="s">
        <v>8</v>
      </c>
      <c r="K9" s="19" t="s">
        <v>9</v>
      </c>
    </row>
    <row r="10" spans="1:11" s="2" customFormat="1">
      <c r="A10" s="24"/>
      <c r="B10" s="24"/>
      <c r="C10" s="24"/>
      <c r="D10" s="24"/>
      <c r="E10" s="24"/>
      <c r="F10" s="24"/>
      <c r="G10" s="19" t="s">
        <v>10</v>
      </c>
      <c r="H10" s="20">
        <v>7.0000000000000007E-2</v>
      </c>
      <c r="I10" s="20">
        <v>0.08</v>
      </c>
      <c r="J10" s="20">
        <v>0.09</v>
      </c>
      <c r="K10" s="20">
        <v>0.1</v>
      </c>
    </row>
    <row r="11" spans="1:11" s="5" customFormat="1">
      <c r="A11" s="6" t="s">
        <v>30</v>
      </c>
      <c r="B11" s="6" t="s">
        <v>31</v>
      </c>
      <c r="C11" s="17"/>
      <c r="D11" s="17"/>
      <c r="E11" s="6"/>
      <c r="F11" s="7"/>
      <c r="G11" s="31" t="s">
        <v>11</v>
      </c>
      <c r="H11" s="31" t="s">
        <v>12</v>
      </c>
      <c r="I11" s="31" t="s">
        <v>13</v>
      </c>
      <c r="J11" s="31" t="s">
        <v>14</v>
      </c>
      <c r="K11" s="31" t="s">
        <v>15</v>
      </c>
    </row>
    <row r="12" spans="1:11" s="5" customFormat="1">
      <c r="A12" s="10">
        <v>1</v>
      </c>
      <c r="B12" s="11" t="s">
        <v>16</v>
      </c>
      <c r="C12" s="12">
        <v>3600000</v>
      </c>
      <c r="D12" s="53">
        <f>SUM(C12:C19)</f>
        <v>9619800</v>
      </c>
      <c r="E12" s="42" t="s">
        <v>0</v>
      </c>
      <c r="F12" s="23"/>
      <c r="G12" s="26"/>
      <c r="H12" s="47"/>
      <c r="I12" s="47"/>
      <c r="J12" s="39">
        <f>D12*9/100</f>
        <v>865782</v>
      </c>
      <c r="K12" s="39">
        <f>D12*10/100</f>
        <v>961980</v>
      </c>
    </row>
    <row r="13" spans="1:11">
      <c r="A13" s="10">
        <v>2</v>
      </c>
      <c r="B13" s="11" t="s">
        <v>17</v>
      </c>
      <c r="C13" s="12">
        <v>3240000</v>
      </c>
      <c r="D13" s="54"/>
      <c r="E13" s="43"/>
      <c r="F13" s="3"/>
      <c r="G13" s="27"/>
      <c r="H13" s="48"/>
      <c r="I13" s="48"/>
      <c r="J13" s="40"/>
      <c r="K13" s="40"/>
    </row>
    <row r="14" spans="1:11">
      <c r="A14" s="10">
        <v>3</v>
      </c>
      <c r="B14" s="11" t="s">
        <v>18</v>
      </c>
      <c r="C14" s="12">
        <v>660000</v>
      </c>
      <c r="D14" s="54"/>
      <c r="E14" s="43"/>
      <c r="G14" s="27"/>
      <c r="H14" s="48"/>
      <c r="I14" s="48"/>
      <c r="J14" s="40"/>
      <c r="K14" s="40"/>
    </row>
    <row r="15" spans="1:11">
      <c r="A15" s="10">
        <v>4</v>
      </c>
      <c r="B15" s="11" t="s">
        <v>19</v>
      </c>
      <c r="C15" s="12">
        <v>900000</v>
      </c>
      <c r="D15" s="54"/>
      <c r="E15" s="43"/>
      <c r="G15" s="27"/>
      <c r="H15" s="48"/>
      <c r="I15" s="48"/>
      <c r="J15" s="40"/>
      <c r="K15" s="40"/>
    </row>
    <row r="16" spans="1:11">
      <c r="A16" s="10">
        <v>5</v>
      </c>
      <c r="B16" s="11" t="s">
        <v>20</v>
      </c>
      <c r="C16" s="12">
        <v>1008000</v>
      </c>
      <c r="D16" s="54"/>
      <c r="E16" s="43"/>
      <c r="G16" s="27"/>
      <c r="H16" s="48"/>
      <c r="I16" s="48"/>
      <c r="J16" s="40"/>
      <c r="K16" s="40"/>
    </row>
    <row r="17" spans="1:12">
      <c r="A17" s="10">
        <v>6</v>
      </c>
      <c r="B17" s="11" t="s">
        <v>21</v>
      </c>
      <c r="C17" s="12">
        <v>57000</v>
      </c>
      <c r="D17" s="54"/>
      <c r="E17" s="43"/>
      <c r="G17" s="27"/>
      <c r="H17" s="48"/>
      <c r="I17" s="48"/>
      <c r="J17" s="40"/>
      <c r="K17" s="40"/>
    </row>
    <row r="18" spans="1:12">
      <c r="A18" s="10">
        <v>7</v>
      </c>
      <c r="B18" s="11" t="s">
        <v>22</v>
      </c>
      <c r="C18" s="12">
        <v>34800</v>
      </c>
      <c r="D18" s="54"/>
      <c r="E18" s="43"/>
      <c r="G18" s="27"/>
      <c r="H18" s="48"/>
      <c r="I18" s="48"/>
      <c r="J18" s="40"/>
      <c r="K18" s="40"/>
    </row>
    <row r="19" spans="1:12">
      <c r="A19" s="10">
        <v>8</v>
      </c>
      <c r="B19" s="11" t="s">
        <v>23</v>
      </c>
      <c r="C19" s="12">
        <v>120000</v>
      </c>
      <c r="D19" s="54"/>
      <c r="E19" s="44"/>
      <c r="G19" s="27"/>
      <c r="H19" s="49"/>
      <c r="I19" s="49"/>
      <c r="J19" s="41"/>
      <c r="K19" s="41"/>
    </row>
    <row r="20" spans="1:12">
      <c r="A20" s="10">
        <v>9</v>
      </c>
      <c r="B20" s="11" t="s">
        <v>26</v>
      </c>
      <c r="C20" s="12">
        <v>900000</v>
      </c>
      <c r="D20" s="60">
        <f>SUM(C20:C23)</f>
        <v>2604200</v>
      </c>
      <c r="E20" s="45" t="s">
        <v>1</v>
      </c>
      <c r="G20" s="27"/>
      <c r="H20" s="39">
        <f>D20*7/100</f>
        <v>182294</v>
      </c>
      <c r="I20" s="39">
        <f>D20*8/100</f>
        <v>208336</v>
      </c>
      <c r="J20" s="39">
        <f>D20*9/100</f>
        <v>234378</v>
      </c>
      <c r="K20" s="39">
        <f>D20*10/100</f>
        <v>260420</v>
      </c>
    </row>
    <row r="21" spans="1:12">
      <c r="A21" s="10">
        <v>10</v>
      </c>
      <c r="B21" s="11" t="s">
        <v>27</v>
      </c>
      <c r="C21" s="12">
        <v>1500000</v>
      </c>
      <c r="D21" s="61"/>
      <c r="E21" s="46"/>
      <c r="G21" s="27"/>
      <c r="H21" s="40"/>
      <c r="I21" s="40"/>
      <c r="J21" s="40"/>
      <c r="K21" s="40"/>
    </row>
    <row r="22" spans="1:12">
      <c r="A22" s="10">
        <v>11</v>
      </c>
      <c r="B22" s="11" t="s">
        <v>2</v>
      </c>
      <c r="C22" s="12">
        <v>47200</v>
      </c>
      <c r="D22" s="61"/>
      <c r="E22" s="15" t="s">
        <v>2</v>
      </c>
      <c r="G22" s="27"/>
      <c r="H22" s="40"/>
      <c r="I22" s="40"/>
      <c r="J22" s="40"/>
      <c r="K22" s="40"/>
    </row>
    <row r="23" spans="1:12">
      <c r="A23" s="10">
        <v>12</v>
      </c>
      <c r="B23" s="11" t="s">
        <v>28</v>
      </c>
      <c r="C23" s="12">
        <v>157000</v>
      </c>
      <c r="D23" s="61"/>
      <c r="E23" s="15" t="s">
        <v>3</v>
      </c>
      <c r="G23" s="27"/>
      <c r="H23" s="41"/>
      <c r="I23" s="41"/>
      <c r="J23" s="41"/>
      <c r="K23" s="41"/>
    </row>
    <row r="24" spans="1:12">
      <c r="A24" s="10">
        <v>13</v>
      </c>
      <c r="B24" s="13" t="s">
        <v>24</v>
      </c>
      <c r="C24" s="14">
        <v>660000</v>
      </c>
      <c r="D24" s="58">
        <f>SUM(C24:C27)</f>
        <v>2736000</v>
      </c>
      <c r="E24" s="55" t="s">
        <v>32</v>
      </c>
      <c r="G24" s="27"/>
      <c r="H24" s="33"/>
      <c r="I24" s="33"/>
      <c r="J24" s="33"/>
      <c r="K24" s="36"/>
    </row>
    <row r="25" spans="1:12">
      <c r="A25" s="10">
        <v>14</v>
      </c>
      <c r="B25" s="13" t="s">
        <v>25</v>
      </c>
      <c r="C25" s="14">
        <v>198000</v>
      </c>
      <c r="D25" s="59"/>
      <c r="E25" s="56"/>
      <c r="G25" s="27"/>
      <c r="H25" s="34"/>
      <c r="I25" s="34"/>
      <c r="J25" s="34"/>
      <c r="K25" s="37"/>
    </row>
    <row r="26" spans="1:12">
      <c r="A26" s="10">
        <v>15</v>
      </c>
      <c r="B26" s="13" t="s">
        <v>35</v>
      </c>
      <c r="C26" s="14">
        <v>1704000</v>
      </c>
      <c r="D26" s="59"/>
      <c r="E26" s="56"/>
      <c r="G26" s="27"/>
      <c r="H26" s="34"/>
      <c r="I26" s="34"/>
      <c r="J26" s="34"/>
      <c r="K26" s="37"/>
    </row>
    <row r="27" spans="1:12">
      <c r="A27" s="10">
        <v>16</v>
      </c>
      <c r="B27" s="13" t="s">
        <v>29</v>
      </c>
      <c r="C27" s="14">
        <v>174000</v>
      </c>
      <c r="D27" s="59"/>
      <c r="E27" s="57"/>
      <c r="G27" s="27"/>
      <c r="H27" s="35"/>
      <c r="I27" s="35"/>
      <c r="J27" s="35"/>
      <c r="K27" s="38"/>
    </row>
    <row r="28" spans="1:12" ht="15.75">
      <c r="A28" s="50" t="s">
        <v>4</v>
      </c>
      <c r="B28" s="51"/>
      <c r="C28" s="16">
        <f>SUM(C12:C27)</f>
        <v>14960000</v>
      </c>
      <c r="D28" s="25">
        <f>SUM(D12:D27)</f>
        <v>14960000</v>
      </c>
      <c r="E28" s="18"/>
      <c r="G28" s="27"/>
      <c r="H28" s="9">
        <f>SUM(H20:H23)</f>
        <v>182294</v>
      </c>
      <c r="I28" s="9">
        <f>SUM(I20:I23)</f>
        <v>208336</v>
      </c>
      <c r="J28" s="9">
        <f>SUM(J12:J27)</f>
        <v>1100160</v>
      </c>
      <c r="K28" s="9">
        <f>SUM(K12:K27)</f>
        <v>1222400</v>
      </c>
      <c r="L28" s="29" t="s">
        <v>33</v>
      </c>
    </row>
    <row r="29" spans="1:12" ht="15.75">
      <c r="A29" s="8"/>
      <c r="B29" s="8"/>
      <c r="C29" s="8"/>
      <c r="D29" s="8"/>
      <c r="E29" s="8"/>
      <c r="G29" s="28"/>
      <c r="H29" s="22">
        <f>H28/12</f>
        <v>15191.166666666666</v>
      </c>
      <c r="I29" s="22">
        <f t="shared" ref="I29:K29" si="0">I28/12</f>
        <v>17361.333333333332</v>
      </c>
      <c r="J29" s="22">
        <f t="shared" si="0"/>
        <v>91680</v>
      </c>
      <c r="K29" s="22">
        <f t="shared" si="0"/>
        <v>101866.66666666667</v>
      </c>
      <c r="L29" s="30" t="s">
        <v>34</v>
      </c>
    </row>
    <row r="30" spans="1:12" s="8" customFormat="1" ht="15.75">
      <c r="A30"/>
      <c r="B30"/>
      <c r="C30"/>
      <c r="D30"/>
      <c r="E30"/>
      <c r="G30"/>
      <c r="H30"/>
      <c r="I30"/>
      <c r="J30"/>
      <c r="K30"/>
      <c r="L30"/>
    </row>
    <row r="31" spans="1:12" s="8" customFormat="1" ht="15.75">
      <c r="A31"/>
      <c r="B31"/>
      <c r="C31"/>
      <c r="D31"/>
      <c r="E31"/>
      <c r="F31" s="21"/>
      <c r="G31"/>
      <c r="H31"/>
      <c r="I31"/>
      <c r="J31"/>
      <c r="K31"/>
      <c r="L31"/>
    </row>
    <row r="32" spans="1:12">
      <c r="F32" s="4"/>
    </row>
    <row r="33" spans="6:6">
      <c r="F33" s="4"/>
    </row>
  </sheetData>
  <mergeCells count="21">
    <mergeCell ref="A28:B28"/>
    <mergeCell ref="A9:F9"/>
    <mergeCell ref="D12:D19"/>
    <mergeCell ref="D20:D23"/>
    <mergeCell ref="D24:D27"/>
    <mergeCell ref="E24:E27"/>
    <mergeCell ref="E12:E19"/>
    <mergeCell ref="E20:E21"/>
    <mergeCell ref="H12:H19"/>
    <mergeCell ref="I12:I19"/>
    <mergeCell ref="H24:H27"/>
    <mergeCell ref="I24:I27"/>
    <mergeCell ref="G8:K8"/>
    <mergeCell ref="J24:J27"/>
    <mergeCell ref="K24:K27"/>
    <mergeCell ref="H20:H23"/>
    <mergeCell ref="I20:I23"/>
    <mergeCell ref="J12:J19"/>
    <mergeCell ref="K12:K19"/>
    <mergeCell ref="J20:J23"/>
    <mergeCell ref="K20:K23"/>
  </mergeCells>
  <pageMargins left="0" right="0" top="0.78740157480314965" bottom="0" header="0" footer="0"/>
  <pageSetup paperSize="9" scale="7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FA5D-E3E4-44EC-BCCA-B415B6E0DA4D}">
  <dimension ref="A1"/>
  <sheetViews>
    <sheetView workbookViewId="0">
      <selection activeCell="L18" sqref="L1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คำนวณ</vt:lpstr>
      <vt:lpstr>รายการในโครงการเดิม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2023-05-24T02:22:39Z</cp:lastPrinted>
  <dcterms:created xsi:type="dcterms:W3CDTF">2023-05-23T09:17:02Z</dcterms:created>
  <dcterms:modified xsi:type="dcterms:W3CDTF">2023-05-29T08:26:35Z</dcterms:modified>
</cp:coreProperties>
</file>