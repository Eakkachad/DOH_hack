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ter\PIM_โครงการที่ขอในแต่ละปีงบประมาณ\แบบฟอร์มโครงการ\แบบฟอร์มโครงการปี 70\แบบฟอร์มข้อเสนอโครงการ (สำหรับ ทล.)\"/>
    </mc:Choice>
  </mc:AlternateContent>
  <xr:revisionPtr revIDLastSave="0" documentId="13_ncr:1_{36BD71E2-B465-4444-A7FF-13CB536DA8D7}" xr6:coauthVersionLast="47" xr6:coauthVersionMax="47" xr10:uidLastSave="{00000000-0000-0000-0000-000000000000}"/>
  <bookViews>
    <workbookView xWindow="-120" yWindow="-120" windowWidth="29040" windowHeight="15720" tabRatio="709" xr2:uid="{00000000-000D-0000-FFFF-FFFF00000000}"/>
  </bookViews>
  <sheets>
    <sheet name="ส่วน 1 สรุปโครงการ" sheetId="38" r:id="rId1"/>
    <sheet name="ส่วน 2 รายการที่ไม่อยู่ในเกณฑ์" sheetId="39" r:id="rId2"/>
    <sheet name="ส่วน 3 รายละเอียดบุคลากร" sheetId="40" r:id="rId3"/>
    <sheet name="ส่วน 4 รายละเอียดการทดแทน" sheetId="43" r:id="rId4"/>
  </sheets>
  <definedNames>
    <definedName name="_xlnm.Print_Area" localSheetId="0">'ส่วน 1 สรุปโครงการ'!$A$1:$K$57</definedName>
    <definedName name="_xlnm.Print_Area" localSheetId="1">'ส่วน 2 รายการที่ไม่อยู่ในเกณฑ์'!$A$1:$K$26</definedName>
    <definedName name="_xlnm.Print_Area" localSheetId="2">'ส่วน 3 รายละเอียดบุคลากร'!$A$1:$O$18</definedName>
    <definedName name="_xlnm.Print_Area" localSheetId="3">'ส่วน 4 รายละเอียดการทดแทน'!$A$1:$G$38</definedName>
    <definedName name="_xlnm.Print_Titles" localSheetId="0">'ส่วน 1 สรุปโครงการ'!$6:$7</definedName>
    <definedName name="_xlnm.Print_Titles" localSheetId="1">'ส่วน 2 รายการที่ไม่อยู่ในเกณฑ์'!$5:$6</definedName>
    <definedName name="_xlnm.Print_Titles" localSheetId="2">'ส่วน 3 รายละเอียดบุคลากร'!$5:$6</definedName>
    <definedName name="_xlnm.Print_Titles" localSheetId="3">'ส่วน 4 รายละเอียดการทดแทน'!$6:$6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38" l="1"/>
  <c r="N11" i="38" s="1"/>
  <c r="N10" i="38"/>
  <c r="N9" i="38"/>
  <c r="N8" i="38"/>
  <c r="D21" i="38"/>
  <c r="G15" i="40"/>
  <c r="G14" i="40"/>
  <c r="G12" i="40"/>
  <c r="G11" i="40"/>
  <c r="G9" i="40"/>
  <c r="G8" i="40"/>
  <c r="G15" i="38"/>
  <c r="G14" i="38"/>
  <c r="G13" i="38"/>
  <c r="G19" i="38"/>
  <c r="O9" i="38" l="1"/>
  <c r="O8" i="38"/>
  <c r="O10" i="38"/>
  <c r="O7" i="38"/>
  <c r="O11" i="38" s="1"/>
  <c r="G11" i="38"/>
  <c r="G41" i="38"/>
  <c r="G39" i="38"/>
  <c r="G37" i="38"/>
  <c r="G35" i="38"/>
  <c r="G30" i="38"/>
  <c r="G27" i="38"/>
  <c r="G24" i="38"/>
  <c r="G21" i="38"/>
  <c r="G18" i="38"/>
  <c r="G17" i="38"/>
  <c r="G10" i="38"/>
  <c r="G9" i="38"/>
  <c r="G43" i="38" l="1"/>
  <c r="G45" i="38" l="1"/>
</calcChain>
</file>

<file path=xl/sharedStrings.xml><?xml version="1.0" encoding="utf-8"?>
<sst xmlns="http://schemas.openxmlformats.org/spreadsheetml/2006/main" count="215" uniqueCount="161">
  <si>
    <t xml:space="preserve">      โครงการ</t>
  </si>
  <si>
    <t>จำนวน</t>
  </si>
  <si>
    <t>หน่วย</t>
  </si>
  <si>
    <t>รวม</t>
  </si>
  <si>
    <t>ชุด</t>
  </si>
  <si>
    <t>คน-เดือน</t>
  </si>
  <si>
    <t>ลำดับที่</t>
  </si>
  <si>
    <t>รายการที่ขออนุมัติ</t>
  </si>
  <si>
    <t>วัตถุประสงค์ :</t>
  </si>
  <si>
    <t>ชั่วโมง</t>
  </si>
  <si>
    <t>มื้อ</t>
  </si>
  <si>
    <t>รวมทั้งสิ้น</t>
  </si>
  <si>
    <t>โครงการ...</t>
  </si>
  <si>
    <t>หมายเหตุ</t>
  </si>
  <si>
    <t>1.1 ..........</t>
  </si>
  <si>
    <t>1.2 ..........</t>
  </si>
  <si>
    <t>1.3 ..........</t>
  </si>
  <si>
    <t>2.1 ..........</t>
  </si>
  <si>
    <t>2.2 ..........</t>
  </si>
  <si>
    <t>2.3 ..........</t>
  </si>
  <si>
    <t>1. รายการเครื่องคอมพิวเตอร์และอุปกรณ์</t>
  </si>
  <si>
    <t>(ปริญญา.......... ประสบการณ์ .......... ปี)</t>
  </si>
  <si>
    <t>(.......... คน .......... เดือน)</t>
  </si>
  <si>
    <t>ไม่น้อยกว่า .......... คน จำนวน .......... ครั้ง ประกอบด้วย</t>
  </si>
  <si>
    <t>จำนวน .......... คน คนละ .......... ชั่วโมง</t>
  </si>
  <si>
    <t>จำนวน .......... คน คนละ .......... มื้อ</t>
  </si>
  <si>
    <t>รายการ</t>
  </si>
  <si>
    <t>ชื่อโครงการ..............................................................................</t>
  </si>
  <si>
    <t>รายละเอียดหน้าที่ความรับผิดชอบในโครงการ</t>
  </si>
  <si>
    <t>........................................</t>
  </si>
  <si>
    <t>ที่มาของราคา เช่น URL/website, 
ใบเสนอราคาของบริษัท</t>
  </si>
  <si>
    <t>ยี่ห้อและรุ่น</t>
  </si>
  <si>
    <t>ชื่อตำแหน่งที่เสนอตามโครงการ</t>
  </si>
  <si>
    <t xml:space="preserve">กรอบการปฏิบัติงาน (เดือนที่) </t>
  </si>
  <si>
    <t>xx</t>
  </si>
  <si>
    <t>...</t>
  </si>
  <si>
    <t xml:space="preserve">1. ที่มาของราคาที่อ้างอิงจาก Website ต่างประเทศ ให้แสดงการคิดราคาให้ด้วย </t>
  </si>
  <si>
    <t>เพิ่มเติม</t>
  </si>
  <si>
    <t>1. รายการเครื่องคอมพิวเตอร์และอุปกรณ์ รวมถึงรายการอื่น ๆ ที่อ้างอิงจากเกณฑ์ ดศ. ให้ใช้ข้อความเดียวกันกับที่ ดศ. ระบุ</t>
  </si>
  <si>
    <t>บุคลากรหลัก</t>
  </si>
  <si>
    <t>ระบบ.................................................</t>
  </si>
  <si>
    <t>บุคลากรสนับสนุน</t>
  </si>
  <si>
    <t>ประจำปีงบประมาณ .....................</t>
  </si>
  <si>
    <t>รายการ (ยี่ห้อ / รุ่น)</t>
  </si>
  <si>
    <t>ปีที่จัดซื้อ</t>
  </si>
  <si>
    <t>ปีที่จะทดแทน</t>
  </si>
  <si>
    <t>หมายเลขครุภัณฑ์</t>
  </si>
  <si>
    <t>เครื่องคอมพิวเตอร์</t>
  </si>
  <si>
    <t>เครื่องคอมพิวเตอร์โน้ตบุ๊ก</t>
  </si>
  <si>
    <t>คอมพิวเตอร์แท็ปแล็ต</t>
  </si>
  <si>
    <t xml:space="preserve">เครื่องพิมพ์ชนิดเลเซอร์/ชนิด LED ขาวดำ แบบ Network </t>
  </si>
  <si>
    <t>เครื่องพิมพ์ชนิดเลเซอร์/ชนิด LED สี แบบ Network</t>
  </si>
  <si>
    <t>เครื่องพิมพ์แบบฉีดหมึก (Inkjet Printer)</t>
  </si>
  <si>
    <t>สแกนเนอร์ ขนาด A3 แบบ ADF และ Flatbed</t>
  </si>
  <si>
    <t>เครื่องสำรองไฟฟ้า ขนาด 1 kVA</t>
  </si>
  <si>
    <t>เครื่องพิมพ์ชนิดเลเซอร์/ชนิด LED สี ขนาด A3</t>
  </si>
  <si>
    <t>กล้องโทรทัศน์วงจรปิด (CCTV)</t>
  </si>
  <si>
    <t>ข้อมูลเพิ่มเติม</t>
  </si>
  <si>
    <t>1. รายการที่ ... ทดแทน ปี 25xx</t>
  </si>
  <si>
    <t>2. รายการที่ ... - ... ทดแทน ปี 25xx</t>
  </si>
  <si>
    <t>*</t>
  </si>
  <si>
    <t>**</t>
  </si>
  <si>
    <t>สัดส่วนของรายการที่ขออนุมัติ</t>
  </si>
  <si>
    <t>7. ระบุสัดส่วนของรายการที่ขออนุมัติ เพื่อประกอบการพิจารณาของคณะกรรมการบริหารฯ</t>
  </si>
  <si>
    <t>8. ห้ามแก้ไขแบบ เพิ่มคอลัมน์ ลดตัวอักษร และต้องตั้งค่า Page Scaling adjust เท่ากับ 75% เท่านั้น</t>
  </si>
  <si>
    <t>การอ้างอิงเกณฑ์ราคา</t>
  </si>
  <si>
    <t>/การจัดหา</t>
  </si>
  <si>
    <t>N</t>
  </si>
  <si>
    <t>C</t>
  </si>
  <si>
    <t>สถานที่ดำเนินโครงการ/ติดตั้งอุปกรณ์ :</t>
  </si>
  <si>
    <t>(วงเงินด้านไอซีทีที่เสนอ :              บาท)</t>
  </si>
  <si>
    <t xml:space="preserve">วงเงิน :              บาท </t>
  </si>
  <si>
    <t>2. กรณีโครงการมีรายการค่าฝึกอบรม ให้จำแนกรายละเอียดตามตัวอย่าง</t>
  </si>
  <si>
    <t>3. รายการอุปกรณ์ระบบกล้องโทรทัศน์วงจรปิด</t>
  </si>
  <si>
    <t>2. รายการซอฟต์แวร์ที่มีลิขสิทธิ์ถูกต้องตามกฎหมาย</t>
  </si>
  <si>
    <t>3.1 ..........</t>
  </si>
  <si>
    <t>3.2 ..........</t>
  </si>
  <si>
    <t>3.3 ..........</t>
  </si>
  <si>
    <t>4.1 ผู้จัดการโครงการ</t>
  </si>
  <si>
    <t>4.2 ผู้เชี่ยวชาญด้าน..........</t>
  </si>
  <si>
    <t>4.3 นัก..........</t>
  </si>
  <si>
    <t>4.4 เลขานุการ</t>
  </si>
  <si>
    <t>5. ค่าฝึกอบรม</t>
  </si>
  <si>
    <t>5.1 การฝึกอบรมการใช้งานระบบสำหรับผู้ดูแลระบบ</t>
  </si>
  <si>
    <t>5.1.1 ค่าตอบแทนวิทยากร (ภาครัฐ/เอกชน)</t>
  </si>
  <si>
    <t>5.1.2 ค่าอาหารกลางวัน (สถานที่ของรัฐ/เอกชน)</t>
  </si>
  <si>
    <t>5.1.3 ค่าอาหารว่างและเครื่องดื่ม (สถานที่ของรัฐ/เอกชน)</t>
  </si>
  <si>
    <t>5.1.4 ค่าเอกสารประกอบการฝึกอบรม</t>
  </si>
  <si>
    <t>หลักการและเหตุผล</t>
  </si>
  <si>
    <t>3. กรณีครุภัณฑ์ที่มีคุณลักษณะและราคาสูงกว่าราคากลาง ให้ระบุรายละเอียด และจัดทำที่มาของราคาในแบบที่ 3 รายการที่ไม่ได้อยู่ในเกณฑ์ราคากลาง</t>
  </si>
  <si>
    <t>4. กรณีโครงการมีค่าจ้างที่ปรึกษา (พัฒนาระบบ) ให้จำแนกรายละเอียดตามตัวอย่าง พร้อมอธิบายหน้าที่ความรับผิดชอบและกรอบการปฏิบัติงานของบุคลากร ในแบบที่ 4 รายละเอียดบุคลากรในโครงการ</t>
  </si>
  <si>
    <t>5. หลักการและเหตุผล ให้อธิบายพอสังเขป และใช้ข้อความที่กระชับ เข้าใจง่าย</t>
  </si>
  <si>
    <t>6. การอ้างอิงเกณฑ์ราคา/การจัดหา ต้องระบุให้ครบถ้วนทุกรายการ ดังนี้</t>
  </si>
  <si>
    <t>9. การกำหนดหน่วยในคอลัมน์ F ควรกำหนดให้ถูกต้องและเหมาะสมกับลักษณะของรายการที่ขออนุมัติ โดยต้องไม่กำหนดเป็น "เหมา"</t>
  </si>
  <si>
    <t>การจัดหา HW/SW/CCTV</t>
  </si>
  <si>
    <t>รายการเครื่องคอมพิวเตอร์และอุปกรณ์</t>
  </si>
  <si>
    <t>รายการซอฟต์แวร์ที่มีลิขสิทธิ์ถูกต้อง
ตามกฎหมาย</t>
  </si>
  <si>
    <t>2. ระบุลำดับรายการให้ตรงกันกับแบบที่ 2 สรุปการจัดหาระบบคอมพิวเตอร์ฯ</t>
  </si>
  <si>
    <t>3. ที่มาของราคาที่เป็นใบเสนอราคาให้แนบใบเสนอราคามาด้วย</t>
  </si>
  <si>
    <t>4. กรณีเว็บไซต์ ให้ Screen Capture ประกอบการพิจารณา</t>
  </si>
  <si>
    <t>รายการอุปกรณ์ระบบกล้องโทรทัศน์
วงจรปิด</t>
  </si>
  <si>
    <t>ลำดับ</t>
  </si>
  <si>
    <t>วุฒิการศึกษา</t>
  </si>
  <si>
    <t>ระยะเวลา</t>
  </si>
  <si>
    <t>(เดือน)</t>
  </si>
  <si>
    <t>(คน)</t>
  </si>
  <si>
    <t>ประสบการณ์</t>
  </si>
  <si>
    <t>(ปี)</t>
  </si>
  <si>
    <t>x</t>
  </si>
  <si>
    <t>ผู้จัดการโครงการ</t>
  </si>
  <si>
    <t>1</t>
  </si>
  <si>
    <t>1.1</t>
  </si>
  <si>
    <t>รายการที่ไม่ได้อยู่ในเกณฑ์ราคากลาง</t>
  </si>
  <si>
    <t>สรุปการจัดหาระบบคอมพิวเตอร์ภาครัฐที่เสนอขอความเห็นชอบคณะกรรมการบริหารและจัดหาระบบคอมพิวเตอร์กระทรวงคมนาคม</t>
  </si>
  <si>
    <t>รายละเอียดบุคลากรในโครงการ</t>
  </si>
  <si>
    <t>รายละเอียดส่วนที่ 4</t>
  </si>
  <si>
    <t>รายละเอียดการทดแทนครุภัณฑ์คอมพิวเตอร์และอุปกรณ์ต่อพ่วง</t>
  </si>
  <si>
    <t>รายละเอียดส่วนที่ 3</t>
  </si>
  <si>
    <t>รายละเอียดส่วนที่ 2</t>
  </si>
  <si>
    <t>รายละเอียดส่วนที่ 1</t>
  </si>
  <si>
    <t>รวม
(บาท)</t>
  </si>
  <si>
    <t>กรมทางหลวง</t>
  </si>
  <si>
    <t>ปรับลด</t>
  </si>
  <si>
    <t>Hardware :     %</t>
  </si>
  <si>
    <t>Software :     %</t>
  </si>
  <si>
    <t>ค่าบุคลากร :     %</t>
  </si>
  <si>
    <t>อื่น ๆ :     %</t>
  </si>
  <si>
    <t>..........</t>
  </si>
  <si>
    <t>1. ..........</t>
  </si>
  <si>
    <t>2. ..........</t>
  </si>
  <si>
    <t>3. ..........</t>
  </si>
  <si>
    <t>งบประมาณรายจ่าย</t>
  </si>
  <si>
    <t>เงินงบประมาณเหลือจ่าย</t>
  </si>
  <si>
    <t xml:space="preserve">เงินนอกงบประมาณ </t>
  </si>
  <si>
    <t xml:space="preserve">ประจำปีงบประมาณ พ.ศ. </t>
  </si>
  <si>
    <t>(กรณี เงินนอก ให้ระบุชื่อแหล่งเงิน)</t>
  </si>
  <si>
    <t>4. ค่าจ้างที่ปรึกษา (Mark-UP Factor …..)</t>
  </si>
  <si>
    <r>
      <rPr>
        <i/>
        <sz val="14"/>
        <color rgb="FFFF0000"/>
        <rFont val="TH SarabunPSK"/>
        <family val="2"/>
      </rPr>
      <t>(ให้เลือกแหล่งงบ)</t>
    </r>
    <r>
      <rPr>
        <sz val="16"/>
        <rFont val="TH SarabunPSK"/>
        <family val="2"/>
      </rPr>
      <t xml:space="preserve"> </t>
    </r>
    <r>
      <rPr>
        <b/>
        <sz val="16"/>
        <rFont val="TH SarabunPSK"/>
        <family val="2"/>
      </rPr>
      <t xml:space="preserve">งบประมาณรายจ่าย / เงินงบประมาณเหลือจ่าย / เงินนอกงบประมาณ ประจำปีงบประมาณ พ.ศ. </t>
    </r>
  </si>
  <si>
    <r>
      <t xml:space="preserve">ราคาต่อหน่วย
</t>
    </r>
    <r>
      <rPr>
        <b/>
        <sz val="12"/>
        <rFont val="TH SarabunPSK"/>
        <family val="2"/>
      </rPr>
      <t>(รวมภาษีมูลค่าเพิ่ม)</t>
    </r>
  </si>
  <si>
    <r>
      <rPr>
        <b/>
        <sz val="12"/>
        <rFont val="TH SarabunPSK"/>
        <family val="2"/>
      </rPr>
      <t>*</t>
    </r>
    <r>
      <rPr>
        <sz val="12"/>
        <rFont val="TH SarabunPSK"/>
        <family val="2"/>
      </rPr>
      <t xml:space="preserve"> ราคากลาง</t>
    </r>
  </si>
  <si>
    <r>
      <rPr>
        <b/>
        <sz val="12"/>
        <rFont val="TH SarabunPSK"/>
        <family val="2"/>
      </rPr>
      <t>**</t>
    </r>
    <r>
      <rPr>
        <sz val="12"/>
        <rFont val="TH SarabunPSK"/>
        <family val="2"/>
      </rPr>
      <t xml:space="preserve"> ใบเสนอราคา</t>
    </r>
  </si>
  <si>
    <r>
      <rPr>
        <b/>
        <sz val="12"/>
        <rFont val="TH SarabunPSK"/>
        <family val="2"/>
      </rPr>
      <t>***</t>
    </r>
    <r>
      <rPr>
        <sz val="12"/>
        <rFont val="TH SarabunPSK"/>
        <family val="2"/>
      </rPr>
      <t xml:space="preserve"> สืบราคาจากท้องตลาด</t>
    </r>
  </si>
  <si>
    <r>
      <rPr>
        <b/>
        <sz val="12"/>
        <rFont val="TH SarabunPSK"/>
        <family val="2"/>
      </rPr>
      <t>****</t>
    </r>
    <r>
      <rPr>
        <sz val="12"/>
        <rFont val="TH SarabunPSK"/>
        <family val="2"/>
      </rPr>
      <t xml:space="preserve"> ไม่พิจารณา</t>
    </r>
  </si>
  <si>
    <r>
      <t>แหล่งงบประมาณ :</t>
    </r>
    <r>
      <rPr>
        <b/>
        <sz val="14"/>
        <color rgb="FFFF0000"/>
        <rFont val="TH SarabunPSK"/>
        <family val="2"/>
      </rPr>
      <t xml:space="preserve"> </t>
    </r>
    <r>
      <rPr>
        <i/>
        <sz val="12"/>
        <color rgb="FFFF0000"/>
        <rFont val="TH SarabunPSK"/>
        <family val="2"/>
      </rPr>
      <t>(ให้เลือกแหล่งงบ)</t>
    </r>
  </si>
  <si>
    <r>
      <rPr>
        <b/>
        <sz val="12"/>
        <rFont val="TH SarabunPSK"/>
        <family val="2"/>
      </rPr>
      <t>*****</t>
    </r>
    <r>
      <rPr>
        <sz val="12"/>
        <rFont val="TH SarabunPSK"/>
        <family val="2"/>
      </rPr>
      <t xml:space="preserve"> ชี้แจงรายละเอียด</t>
    </r>
  </si>
  <si>
    <r>
      <rPr>
        <b/>
        <sz val="12"/>
        <rFont val="TH SarabunPSK"/>
        <family val="2"/>
      </rPr>
      <t>N</t>
    </r>
    <r>
      <rPr>
        <sz val="12"/>
        <rFont val="TH SarabunPSK"/>
        <family val="2"/>
      </rPr>
      <t xml:space="preserve"> = เพิ่มเติม</t>
    </r>
  </si>
  <si>
    <r>
      <rPr>
        <b/>
        <sz val="12"/>
        <rFont val="TH SarabunPSK"/>
        <family val="2"/>
      </rPr>
      <t>C</t>
    </r>
    <r>
      <rPr>
        <sz val="12"/>
        <rFont val="TH SarabunPSK"/>
        <family val="2"/>
      </rPr>
      <t xml:space="preserve"> = ทดแทน</t>
    </r>
  </si>
  <si>
    <r>
      <rPr>
        <b/>
        <sz val="14"/>
        <rFont val="TH SarabunPSK"/>
        <family val="2"/>
      </rPr>
      <t>ระยะเวลาโครงการ :</t>
    </r>
    <r>
      <rPr>
        <sz val="14"/>
        <rFont val="TH SarabunPSK"/>
        <family val="2"/>
      </rPr>
      <t xml:space="preserve"> ........ เดือน</t>
    </r>
  </si>
  <si>
    <r>
      <t xml:space="preserve"> ราคาต่อหน่วย
</t>
    </r>
    <r>
      <rPr>
        <b/>
        <sz val="12"/>
        <color rgb="FF000000"/>
        <rFont val="TH SarabunPSK"/>
        <family val="2"/>
      </rPr>
      <t>(รวมภาษีมูลค่าเพิ่ม)</t>
    </r>
  </si>
  <si>
    <r>
      <rPr>
        <b/>
        <u/>
        <sz val="12"/>
        <color theme="1"/>
        <rFont val="TH SarabunPSK"/>
        <family val="2"/>
      </rPr>
      <t>หมายเหตุ</t>
    </r>
    <r>
      <rPr>
        <b/>
        <sz val="12"/>
        <color theme="1"/>
        <rFont val="TH SarabunPSK"/>
        <family val="2"/>
      </rPr>
      <t>:</t>
    </r>
    <r>
      <rPr>
        <sz val="12"/>
        <color theme="1"/>
        <rFont val="TH SarabunPSK"/>
        <family val="2"/>
      </rPr>
      <t xml:space="preserve"> แสดงช่วงเวลาการทำงานของบุคลากรแต่ละตำแหน่ง ในกรอบการปฏิบัติงาน ให้ชัดเจน เพื่อประกอบการพิจารณา</t>
    </r>
  </si>
  <si>
    <t>HW</t>
  </si>
  <si>
    <t>SW</t>
  </si>
  <si>
    <t>PW</t>
  </si>
  <si>
    <t>OT</t>
  </si>
  <si>
    <t>ตัวช่วยคำนวณ เปอร์เซ็น</t>
  </si>
  <si>
    <t>แหล่งข้อมูลที่ 1</t>
  </si>
  <si>
    <t>แหล่งข้อมูลที่ 2</t>
  </si>
  <si>
    <t>แหล่งข้อมูลที่ 3</t>
  </si>
  <si>
    <r>
      <rPr>
        <b/>
        <u/>
        <sz val="14"/>
        <rFont val="TH SarabunPSK"/>
        <family val="2"/>
      </rPr>
      <t>เหตุผล</t>
    </r>
    <r>
      <rPr>
        <sz val="14"/>
        <rFont val="TH SarabunPSK"/>
        <family val="2"/>
      </rPr>
      <t xml:space="preserve"> </t>
    </r>
  </si>
  <si>
    <t>.... (หลักการและเหตุผลโดยสังเขป)</t>
  </si>
  <si>
    <t>โครงการ..............................................................................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</si>
</sst>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Tahoma"/>
      <family val="2"/>
      <charset val="222"/>
    </font>
    <font>
      <sz val="10"/>
      <color rgb="FF000000"/>
      <name val="Arial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i/>
      <sz val="14"/>
      <color rgb="FFFF0000"/>
      <name val="TH SarabunPSK"/>
      <family val="2"/>
    </font>
    <font>
      <b/>
      <sz val="12"/>
      <name val="TH SarabunPSK"/>
      <family val="2"/>
    </font>
    <font>
      <sz val="10"/>
      <name val="TH SarabunPSK"/>
      <family val="2"/>
    </font>
    <font>
      <b/>
      <u/>
      <sz val="14"/>
      <name val="TH SarabunPSK"/>
      <family val="2"/>
    </font>
    <font>
      <b/>
      <u/>
      <sz val="12"/>
      <name val="TH SarabunPSK"/>
      <family val="2"/>
    </font>
    <font>
      <sz val="12"/>
      <name val="TH SarabunPSK"/>
      <family val="2"/>
    </font>
    <font>
      <b/>
      <sz val="14"/>
      <color rgb="FFFF0000"/>
      <name val="TH SarabunPSK"/>
      <family val="2"/>
    </font>
    <font>
      <i/>
      <sz val="12"/>
      <color rgb="FFFF0000"/>
      <name val="TH SarabunPSK"/>
      <family val="2"/>
    </font>
    <font>
      <sz val="14"/>
      <color theme="1"/>
      <name val="TH SarabunPSK"/>
      <family val="2"/>
    </font>
    <font>
      <b/>
      <sz val="16"/>
      <color theme="1"/>
      <name val="TH SarabunPSK"/>
      <family val="2"/>
    </font>
    <font>
      <b/>
      <sz val="14"/>
      <color theme="1"/>
      <name val="TH SarabunPSK"/>
      <family val="2"/>
    </font>
    <font>
      <b/>
      <sz val="14"/>
      <color rgb="FF000000"/>
      <name val="TH SarabunPSK"/>
      <family val="2"/>
    </font>
    <font>
      <b/>
      <sz val="12"/>
      <color rgb="FF000000"/>
      <name val="TH SarabunPSK"/>
      <family val="2"/>
    </font>
    <font>
      <sz val="14"/>
      <color rgb="FF000000"/>
      <name val="TH SarabunPSK"/>
      <family val="2"/>
    </font>
    <font>
      <b/>
      <u/>
      <sz val="12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rgb="FFFF0000"/>
      <name val="TH SarabunPSK"/>
      <family val="2"/>
    </font>
    <font>
      <b/>
      <sz val="12"/>
      <color theme="1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3">
    <xf numFmtId="0" fontId="0" fillId="0" borderId="0" xfId="0"/>
    <xf numFmtId="49" fontId="10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vertical="top" shrinkToFit="1"/>
    </xf>
    <xf numFmtId="166" fontId="11" fillId="0" borderId="0" xfId="1" applyNumberFormat="1" applyFont="1" applyFill="1" applyAlignment="1">
      <alignment vertical="top" shrinkToFit="1"/>
    </xf>
    <xf numFmtId="49" fontId="11" fillId="0" borderId="0" xfId="0" applyNumberFormat="1" applyFont="1" applyAlignment="1">
      <alignment horizontal="center" vertical="top" shrinkToFit="1"/>
    </xf>
    <xf numFmtId="166" fontId="11" fillId="0" borderId="0" xfId="1" applyNumberFormat="1" applyFont="1" applyFill="1" applyAlignment="1">
      <alignment horizontal="center" vertical="top" shrinkToFit="1"/>
    </xf>
    <xf numFmtId="49" fontId="10" fillId="0" borderId="0" xfId="1" applyNumberFormat="1" applyFont="1" applyFill="1" applyAlignment="1">
      <alignment horizontal="right" vertical="top" shrinkToFit="1"/>
    </xf>
    <xf numFmtId="49" fontId="10" fillId="0" borderId="0" xfId="1" applyNumberFormat="1" applyFont="1" applyFill="1" applyAlignment="1">
      <alignment horizontal="left" vertical="top" shrinkToFit="1"/>
    </xf>
    <xf numFmtId="49" fontId="10" fillId="6" borderId="0" xfId="0" applyNumberFormat="1" applyFont="1" applyFill="1" applyAlignment="1">
      <alignment horizontal="center" vertical="top" shrinkToFit="1"/>
    </xf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49" fontId="12" fillId="0" borderId="4" xfId="7" applyNumberFormat="1" applyFont="1" applyBorder="1" applyAlignment="1">
      <alignment horizontal="center" vertical="center" shrinkToFit="1"/>
    </xf>
    <xf numFmtId="49" fontId="10" fillId="0" borderId="4" xfId="7" applyNumberFormat="1" applyFont="1" applyBorder="1" applyAlignment="1">
      <alignment horizontal="center" vertical="center" shrinkToFit="1"/>
    </xf>
    <xf numFmtId="166" fontId="12" fillId="0" borderId="4" xfId="1" applyNumberFormat="1" applyFont="1" applyFill="1" applyBorder="1" applyAlignment="1">
      <alignment horizontal="center" vertical="center" shrinkToFit="1"/>
    </xf>
    <xf numFmtId="49" fontId="12" fillId="0" borderId="4" xfId="1" applyNumberFormat="1" applyFont="1" applyFill="1" applyBorder="1" applyAlignment="1">
      <alignment horizontal="right" vertical="center" shrinkToFit="1"/>
    </xf>
    <xf numFmtId="49" fontId="12" fillId="0" borderId="4" xfId="1" applyNumberFormat="1" applyFont="1" applyFill="1" applyBorder="1" applyAlignment="1">
      <alignment horizontal="left" vertical="center" shrinkToFit="1"/>
    </xf>
    <xf numFmtId="49" fontId="10" fillId="0" borderId="0" xfId="7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vertical="top"/>
    </xf>
    <xf numFmtId="49" fontId="10" fillId="0" borderId="2" xfId="0" applyNumberFormat="1" applyFont="1" applyBorder="1" applyAlignment="1">
      <alignment horizontal="center" vertical="top" shrinkToFit="1"/>
    </xf>
    <xf numFmtId="49" fontId="10" fillId="0" borderId="2" xfId="0" applyNumberFormat="1" applyFont="1" applyBorder="1" applyAlignment="1">
      <alignment horizontal="left" vertical="top" shrinkToFit="1"/>
    </xf>
    <xf numFmtId="49" fontId="10" fillId="0" borderId="2" xfId="9" applyNumberFormat="1" applyFont="1" applyBorder="1" applyAlignment="1">
      <alignment horizontal="left" vertical="top" shrinkToFit="1"/>
    </xf>
    <xf numFmtId="165" fontId="11" fillId="0" borderId="2" xfId="3" applyNumberFormat="1" applyFont="1" applyBorder="1" applyAlignment="1">
      <alignment horizontal="left" vertical="top" shrinkToFit="1"/>
    </xf>
    <xf numFmtId="165" fontId="11" fillId="0" borderId="2" xfId="3" applyNumberFormat="1" applyFont="1" applyBorder="1" applyAlignment="1">
      <alignment horizontal="center" vertical="top" shrinkToFit="1"/>
    </xf>
    <xf numFmtId="49" fontId="11" fillId="0" borderId="2" xfId="9" applyNumberFormat="1" applyFont="1" applyBorder="1" applyAlignment="1">
      <alignment horizontal="center" vertical="top" shrinkToFit="1"/>
    </xf>
    <xf numFmtId="166" fontId="11" fillId="0" borderId="2" xfId="1" quotePrefix="1" applyNumberFormat="1" applyFont="1" applyFill="1" applyBorder="1" applyAlignment="1">
      <alignment horizontal="center" vertical="top" shrinkToFit="1"/>
    </xf>
    <xf numFmtId="49" fontId="10" fillId="0" borderId="12" xfId="1" applyNumberFormat="1" applyFont="1" applyFill="1" applyBorder="1" applyAlignment="1">
      <alignment horizontal="right" vertical="top" shrinkToFit="1"/>
    </xf>
    <xf numFmtId="49" fontId="10" fillId="0" borderId="13" xfId="1" applyNumberFormat="1" applyFont="1" applyFill="1" applyBorder="1" applyAlignment="1">
      <alignment horizontal="left" vertical="top" shrinkToFit="1"/>
    </xf>
    <xf numFmtId="49" fontId="11" fillId="0" borderId="2" xfId="0" applyNumberFormat="1" applyFont="1" applyBorder="1" applyAlignment="1">
      <alignment vertical="top" shrinkToFit="1"/>
    </xf>
    <xf numFmtId="49" fontId="18" fillId="0" borderId="2" xfId="0" applyNumberFormat="1" applyFont="1" applyBorder="1" applyAlignment="1" applyProtection="1">
      <alignment vertical="top" shrinkToFit="1"/>
      <protection locked="0"/>
    </xf>
    <xf numFmtId="0" fontId="16" fillId="0" borderId="0" xfId="0" applyFont="1" applyAlignment="1">
      <alignment vertical="top"/>
    </xf>
    <xf numFmtId="49" fontId="10" fillId="0" borderId="1" xfId="0" applyNumberFormat="1" applyFont="1" applyBorder="1" applyAlignment="1">
      <alignment horizontal="center" vertical="top" shrinkToFit="1"/>
    </xf>
    <xf numFmtId="49" fontId="10" fillId="0" borderId="1" xfId="0" applyNumberFormat="1" applyFont="1" applyBorder="1" applyAlignment="1">
      <alignment horizontal="left" vertical="top" shrinkToFit="1"/>
    </xf>
    <xf numFmtId="49" fontId="11" fillId="0" borderId="1" xfId="9" applyNumberFormat="1" applyFont="1" applyBorder="1" applyAlignment="1">
      <alignment horizontal="left" vertical="top" shrinkToFit="1"/>
    </xf>
    <xf numFmtId="165" fontId="11" fillId="0" borderId="1" xfId="3" applyNumberFormat="1" applyFont="1" applyBorder="1" applyAlignment="1">
      <alignment vertical="top" shrinkToFit="1"/>
    </xf>
    <xf numFmtId="165" fontId="11" fillId="0" borderId="1" xfId="3" applyNumberFormat="1" applyFont="1" applyBorder="1" applyAlignment="1">
      <alignment horizontal="right" vertical="top" shrinkToFit="1"/>
    </xf>
    <xf numFmtId="49" fontId="11" fillId="0" borderId="1" xfId="9" applyNumberFormat="1" applyFont="1" applyBorder="1" applyAlignment="1">
      <alignment horizontal="center" vertical="top" shrinkToFit="1"/>
    </xf>
    <xf numFmtId="166" fontId="11" fillId="0" borderId="1" xfId="1" quotePrefix="1" applyNumberFormat="1" applyFont="1" applyFill="1" applyBorder="1" applyAlignment="1">
      <alignment horizontal="center" vertical="top" shrinkToFit="1"/>
    </xf>
    <xf numFmtId="49" fontId="10" fillId="0" borderId="14" xfId="1" applyNumberFormat="1" applyFont="1" applyFill="1" applyBorder="1" applyAlignment="1">
      <alignment horizontal="right" vertical="top" shrinkToFit="1"/>
    </xf>
    <xf numFmtId="49" fontId="10" fillId="0" borderId="15" xfId="1" applyNumberFormat="1" applyFont="1" applyFill="1" applyBorder="1" applyAlignment="1">
      <alignment horizontal="left" vertical="top" shrinkToFit="1"/>
    </xf>
    <xf numFmtId="49" fontId="11" fillId="0" borderId="1" xfId="0" applyNumberFormat="1" applyFont="1" applyBorder="1" applyAlignment="1">
      <alignment vertical="top" shrinkToFit="1"/>
    </xf>
    <xf numFmtId="49" fontId="19" fillId="0" borderId="1" xfId="0" applyNumberFormat="1" applyFont="1" applyBorder="1" applyAlignment="1" applyProtection="1">
      <alignment vertical="top" shrinkToFit="1"/>
      <protection locked="0"/>
    </xf>
    <xf numFmtId="49" fontId="11" fillId="0" borderId="1" xfId="20" applyNumberFormat="1" applyFont="1" applyBorder="1" applyAlignment="1">
      <alignment horizontal="center" vertical="top" shrinkToFit="1"/>
    </xf>
    <xf numFmtId="49" fontId="10" fillId="0" borderId="1" xfId="9" quotePrefix="1" applyNumberFormat="1" applyFont="1" applyBorder="1" applyAlignment="1">
      <alignment horizontal="left" vertical="top" shrinkToFit="1"/>
    </xf>
    <xf numFmtId="49" fontId="11" fillId="0" borderId="1" xfId="0" applyNumberFormat="1" applyFont="1" applyBorder="1" applyAlignment="1">
      <alignment horizontal="center" vertical="top" shrinkToFit="1"/>
    </xf>
    <xf numFmtId="49" fontId="10" fillId="0" borderId="1" xfId="9" applyNumberFormat="1" applyFont="1" applyBorder="1" applyAlignment="1">
      <alignment vertical="top" shrinkToFit="1"/>
    </xf>
    <xf numFmtId="49" fontId="10" fillId="0" borderId="1" xfId="0" applyNumberFormat="1" applyFont="1" applyBorder="1" applyAlignment="1">
      <alignment vertical="top" shrinkToFit="1"/>
    </xf>
    <xf numFmtId="49" fontId="11" fillId="0" borderId="1" xfId="6" applyNumberFormat="1" applyFont="1" applyBorder="1" applyAlignment="1">
      <alignment horizontal="left" vertical="top" indent="1" shrinkToFit="1"/>
    </xf>
    <xf numFmtId="49" fontId="18" fillId="0" borderId="1" xfId="0" applyNumberFormat="1" applyFont="1" applyBorder="1" applyAlignment="1" applyProtection="1">
      <alignment vertical="top" shrinkToFit="1"/>
      <protection locked="0"/>
    </xf>
    <xf numFmtId="49" fontId="11" fillId="0" borderId="1" xfId="0" applyNumberFormat="1" applyFont="1" applyBorder="1" applyAlignment="1">
      <alignment horizontal="left" vertical="top" indent="1" shrinkToFit="1"/>
    </xf>
    <xf numFmtId="49" fontId="19" fillId="0" borderId="1" xfId="0" applyNumberFormat="1" applyFont="1" applyBorder="1" applyAlignment="1">
      <alignment vertical="top" shrinkToFit="1"/>
    </xf>
    <xf numFmtId="49" fontId="21" fillId="0" borderId="1" xfId="0" applyNumberFormat="1" applyFont="1" applyBorder="1" applyAlignment="1">
      <alignment horizontal="left" vertical="top" indent="1" shrinkToFi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49" fontId="17" fillId="0" borderId="1" xfId="0" applyNumberFormat="1" applyFont="1" applyBorder="1" applyAlignment="1">
      <alignment vertical="top" shrinkToFit="1"/>
    </xf>
    <xf numFmtId="49" fontId="17" fillId="3" borderId="1" xfId="0" applyNumberFormat="1" applyFont="1" applyFill="1" applyBorder="1" applyAlignment="1">
      <alignment vertical="top" shrinkToFit="1"/>
    </xf>
    <xf numFmtId="49" fontId="10" fillId="4" borderId="1" xfId="0" applyNumberFormat="1" applyFont="1" applyFill="1" applyBorder="1" applyAlignment="1" applyProtection="1">
      <alignment horizontal="left" vertical="top" indent="1" shrinkToFit="1"/>
      <protection locked="0"/>
    </xf>
    <xf numFmtId="49" fontId="11" fillId="0" borderId="1" xfId="9" applyNumberFormat="1" applyFont="1" applyBorder="1" applyAlignment="1">
      <alignment vertical="top" shrinkToFit="1"/>
    </xf>
    <xf numFmtId="49" fontId="11" fillId="0" borderId="1" xfId="0" applyNumberFormat="1" applyFont="1" applyBorder="1" applyAlignment="1" applyProtection="1">
      <alignment vertical="top" shrinkToFit="1"/>
      <protection locked="0"/>
    </xf>
    <xf numFmtId="166" fontId="11" fillId="0" borderId="1" xfId="1" applyNumberFormat="1" applyFont="1" applyFill="1" applyBorder="1" applyAlignment="1">
      <alignment vertical="top" shrinkToFit="1"/>
    </xf>
    <xf numFmtId="166" fontId="11" fillId="0" borderId="1" xfId="1" applyNumberFormat="1" applyFont="1" applyFill="1" applyBorder="1" applyAlignment="1">
      <alignment horizontal="center" vertical="top" shrinkToFit="1"/>
    </xf>
    <xf numFmtId="166" fontId="11" fillId="0" borderId="6" xfId="1" quotePrefix="1" applyNumberFormat="1" applyFont="1" applyFill="1" applyBorder="1" applyAlignment="1">
      <alignment horizontal="center" vertical="top" shrinkToFit="1"/>
    </xf>
    <xf numFmtId="166" fontId="10" fillId="0" borderId="5" xfId="1" quotePrefix="1" applyNumberFormat="1" applyFont="1" applyFill="1" applyBorder="1" applyAlignment="1">
      <alignment horizontal="center" vertical="top" shrinkToFit="1"/>
    </xf>
    <xf numFmtId="49" fontId="11" fillId="0" borderId="3" xfId="0" applyNumberFormat="1" applyFont="1" applyBorder="1" applyAlignment="1">
      <alignment vertical="top" shrinkToFit="1"/>
    </xf>
    <xf numFmtId="166" fontId="11" fillId="0" borderId="3" xfId="1" applyNumberFormat="1" applyFont="1" applyFill="1" applyBorder="1" applyAlignment="1">
      <alignment vertical="top" shrinkToFit="1"/>
    </xf>
    <xf numFmtId="166" fontId="11" fillId="0" borderId="3" xfId="1" applyNumberFormat="1" applyFont="1" applyFill="1" applyBorder="1" applyAlignment="1">
      <alignment horizontal="right" vertical="top" shrinkToFit="1"/>
    </xf>
    <xf numFmtId="49" fontId="11" fillId="0" borderId="3" xfId="20" applyNumberFormat="1" applyFont="1" applyBorder="1" applyAlignment="1">
      <alignment horizontal="center" vertical="top" shrinkToFit="1"/>
    </xf>
    <xf numFmtId="166" fontId="11" fillId="0" borderId="3" xfId="1" quotePrefix="1" applyNumberFormat="1" applyFont="1" applyFill="1" applyBorder="1" applyAlignment="1">
      <alignment horizontal="center" vertical="top" shrinkToFit="1"/>
    </xf>
    <xf numFmtId="49" fontId="10" fillId="0" borderId="10" xfId="1" applyNumberFormat="1" applyFont="1" applyFill="1" applyBorder="1" applyAlignment="1">
      <alignment horizontal="right" vertical="top" shrinkToFit="1"/>
    </xf>
    <xf numFmtId="49" fontId="10" fillId="0" borderId="11" xfId="1" applyNumberFormat="1" applyFont="1" applyFill="1" applyBorder="1" applyAlignment="1">
      <alignment horizontal="left" vertical="top" shrinkToFit="1"/>
    </xf>
    <xf numFmtId="166" fontId="11" fillId="0" borderId="0" xfId="1" applyNumberFormat="1" applyFont="1" applyFill="1" applyBorder="1" applyAlignment="1">
      <alignment vertical="top" shrinkToFit="1"/>
    </xf>
    <xf numFmtId="166" fontId="11" fillId="0" borderId="0" xfId="1" applyNumberFormat="1" applyFont="1" applyFill="1" applyBorder="1" applyAlignment="1">
      <alignment horizontal="right" vertical="top" shrinkToFit="1"/>
    </xf>
    <xf numFmtId="49" fontId="11" fillId="0" borderId="0" xfId="20" applyNumberFormat="1" applyFont="1" applyAlignment="1">
      <alignment horizontal="center" vertical="top" shrinkToFit="1"/>
    </xf>
    <xf numFmtId="166" fontId="11" fillId="0" borderId="0" xfId="1" quotePrefix="1" applyNumberFormat="1" applyFont="1" applyFill="1" applyBorder="1" applyAlignment="1">
      <alignment horizontal="center" vertical="top" shrinkToFit="1"/>
    </xf>
    <xf numFmtId="49" fontId="10" fillId="0" borderId="0" xfId="1" applyNumberFormat="1" applyFont="1" applyFill="1" applyBorder="1" applyAlignment="1">
      <alignment horizontal="right" vertical="top" shrinkToFit="1"/>
    </xf>
    <xf numFmtId="49" fontId="10" fillId="0" borderId="0" xfId="1" applyNumberFormat="1" applyFont="1" applyFill="1" applyBorder="1" applyAlignment="1">
      <alignment horizontal="left" vertical="top" shrinkToFit="1"/>
    </xf>
    <xf numFmtId="49" fontId="18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vertical="top"/>
    </xf>
    <xf numFmtId="49" fontId="19" fillId="0" borderId="0" xfId="0" applyNumberFormat="1" applyFont="1" applyAlignment="1">
      <alignment vertical="top" shrinkToFit="1"/>
    </xf>
    <xf numFmtId="166" fontId="19" fillId="0" borderId="0" xfId="1" applyNumberFormat="1" applyFont="1" applyFill="1" applyAlignment="1">
      <alignment vertical="top" shrinkToFit="1"/>
    </xf>
    <xf numFmtId="49" fontId="19" fillId="0" borderId="0" xfId="0" applyNumberFormat="1" applyFont="1" applyAlignment="1">
      <alignment horizontal="center" vertical="top" shrinkToFit="1"/>
    </xf>
    <xf numFmtId="166" fontId="19" fillId="0" borderId="0" xfId="1" applyNumberFormat="1" applyFont="1" applyFill="1" applyAlignment="1">
      <alignment horizontal="center" vertical="top" shrinkToFit="1"/>
    </xf>
    <xf numFmtId="49" fontId="15" fillId="0" borderId="0" xfId="1" applyNumberFormat="1" applyFont="1" applyFill="1" applyAlignment="1">
      <alignment horizontal="right" vertical="top" shrinkToFit="1"/>
    </xf>
    <xf numFmtId="49" fontId="15" fillId="0" borderId="0" xfId="1" applyNumberFormat="1" applyFont="1" applyFill="1" applyAlignment="1">
      <alignment horizontal="left" vertical="top" shrinkToFit="1"/>
    </xf>
    <xf numFmtId="0" fontId="19" fillId="0" borderId="0" xfId="0" applyFont="1" applyAlignment="1">
      <alignment vertical="top"/>
    </xf>
    <xf numFmtId="49" fontId="19" fillId="0" borderId="0" xfId="0" applyNumberFormat="1" applyFont="1" applyAlignment="1">
      <alignment horizontal="left" vertical="top" shrinkToFit="1"/>
    </xf>
    <xf numFmtId="49" fontId="15" fillId="0" borderId="0" xfId="0" applyNumberFormat="1" applyFont="1" applyAlignment="1">
      <alignment horizontal="center" vertical="top" shrinkToFit="1"/>
    </xf>
    <xf numFmtId="49" fontId="10" fillId="0" borderId="0" xfId="0" applyNumberFormat="1" applyFont="1" applyAlignment="1">
      <alignment horizontal="center" vertical="top" shrinkToFit="1"/>
    </xf>
    <xf numFmtId="49" fontId="11" fillId="0" borderId="0" xfId="0" applyNumberFormat="1" applyFont="1" applyAlignment="1">
      <alignment vertical="top"/>
    </xf>
    <xf numFmtId="0" fontId="22" fillId="0" borderId="0" xfId="22" applyFont="1" applyAlignment="1">
      <alignment horizontal="center" vertical="top"/>
    </xf>
    <xf numFmtId="49" fontId="22" fillId="0" borderId="0" xfId="22" applyNumberFormat="1" applyFont="1" applyAlignment="1">
      <alignment horizontal="left" vertical="top"/>
    </xf>
    <xf numFmtId="49" fontId="22" fillId="0" borderId="0" xfId="22" applyNumberFormat="1" applyFont="1" applyAlignment="1">
      <alignment horizontal="left" vertical="top" wrapText="1"/>
    </xf>
    <xf numFmtId="43" fontId="22" fillId="0" borderId="0" xfId="1" applyFont="1" applyAlignment="1">
      <alignment horizontal="right" vertical="top"/>
    </xf>
    <xf numFmtId="49" fontId="22" fillId="0" borderId="0" xfId="22" applyNumberFormat="1" applyFont="1" applyAlignment="1">
      <alignment horizontal="right" vertical="top"/>
    </xf>
    <xf numFmtId="0" fontId="22" fillId="0" borderId="0" xfId="22" applyFont="1" applyAlignment="1">
      <alignment vertical="top"/>
    </xf>
    <xf numFmtId="0" fontId="24" fillId="0" borderId="4" xfId="22" applyFont="1" applyBorder="1" applyAlignment="1">
      <alignment horizontal="center" vertical="top" wrapText="1"/>
    </xf>
    <xf numFmtId="49" fontId="24" fillId="0" borderId="4" xfId="22" applyNumberFormat="1" applyFont="1" applyBorder="1" applyAlignment="1">
      <alignment horizontal="center" vertical="top" wrapText="1"/>
    </xf>
    <xf numFmtId="43" fontId="24" fillId="0" borderId="4" xfId="1" applyFont="1" applyBorder="1" applyAlignment="1">
      <alignment horizontal="center" vertical="top" wrapText="1"/>
    </xf>
    <xf numFmtId="49" fontId="25" fillId="5" borderId="6" xfId="22" applyNumberFormat="1" applyFont="1" applyFill="1" applyBorder="1" applyAlignment="1">
      <alignment horizontal="center" vertical="center" wrapText="1"/>
    </xf>
    <xf numFmtId="0" fontId="24" fillId="0" borderId="0" xfId="22" applyFont="1" applyAlignment="1">
      <alignment vertical="top"/>
    </xf>
    <xf numFmtId="49" fontId="25" fillId="5" borderId="6" xfId="1" applyNumberFormat="1" applyFont="1" applyFill="1" applyBorder="1" applyAlignment="1">
      <alignment horizontal="center" vertical="center" wrapText="1"/>
    </xf>
    <xf numFmtId="0" fontId="25" fillId="0" borderId="6" xfId="22" applyFont="1" applyBorder="1" applyAlignment="1">
      <alignment horizontal="center" vertical="top"/>
    </xf>
    <xf numFmtId="49" fontId="25" fillId="0" borderId="6" xfId="22" applyNumberFormat="1" applyFont="1" applyBorder="1" applyAlignment="1">
      <alignment horizontal="left" vertical="top" wrapText="1"/>
    </xf>
    <xf numFmtId="49" fontId="22" fillId="0" borderId="6" xfId="22" applyNumberFormat="1" applyFont="1" applyBorder="1" applyAlignment="1">
      <alignment horizontal="left" vertical="top" wrapText="1"/>
    </xf>
    <xf numFmtId="43" fontId="27" fillId="0" borderId="6" xfId="1" applyFont="1" applyBorder="1" applyAlignment="1">
      <alignment horizontal="right" vertical="top"/>
    </xf>
    <xf numFmtId="49" fontId="27" fillId="0" borderId="6" xfId="22" applyNumberFormat="1" applyFont="1" applyBorder="1" applyAlignment="1">
      <alignment horizontal="right" vertical="top"/>
    </xf>
    <xf numFmtId="0" fontId="27" fillId="0" borderId="6" xfId="22" applyFont="1" applyBorder="1" applyAlignment="1">
      <alignment horizontal="center" vertical="top"/>
    </xf>
    <xf numFmtId="49" fontId="27" fillId="0" borderId="6" xfId="22" applyNumberFormat="1" applyFont="1" applyBorder="1" applyAlignment="1">
      <alignment horizontal="left" vertical="top" wrapText="1"/>
    </xf>
    <xf numFmtId="43" fontId="27" fillId="0" borderId="6" xfId="1" applyFont="1" applyBorder="1" applyAlignment="1">
      <alignment horizontal="right" vertical="top" wrapText="1"/>
    </xf>
    <xf numFmtId="49" fontId="11" fillId="0" borderId="6" xfId="22" applyNumberFormat="1" applyFont="1" applyBorder="1" applyAlignment="1">
      <alignment horizontal="left" vertical="top" wrapText="1"/>
    </xf>
    <xf numFmtId="0" fontId="27" fillId="2" borderId="6" xfId="22" applyFont="1" applyFill="1" applyBorder="1" applyAlignment="1">
      <alignment horizontal="center" vertical="top"/>
    </xf>
    <xf numFmtId="49" fontId="27" fillId="2" borderId="6" xfId="22" applyNumberFormat="1" applyFont="1" applyFill="1" applyBorder="1" applyAlignment="1">
      <alignment horizontal="left" vertical="top" wrapText="1"/>
    </xf>
    <xf numFmtId="49" fontId="22" fillId="2" borderId="6" xfId="22" applyNumberFormat="1" applyFont="1" applyFill="1" applyBorder="1" applyAlignment="1">
      <alignment horizontal="left" vertical="top" wrapText="1"/>
    </xf>
    <xf numFmtId="43" fontId="27" fillId="2" borderId="6" xfId="1" applyFont="1" applyFill="1" applyBorder="1" applyAlignment="1">
      <alignment horizontal="right" vertical="top"/>
    </xf>
    <xf numFmtId="49" fontId="27" fillId="2" borderId="6" xfId="22" applyNumberFormat="1" applyFont="1" applyFill="1" applyBorder="1" applyAlignment="1">
      <alignment horizontal="right" vertical="top"/>
    </xf>
    <xf numFmtId="0" fontId="22" fillId="2" borderId="0" xfId="22" applyFont="1" applyFill="1" applyAlignment="1">
      <alignment vertical="top"/>
    </xf>
    <xf numFmtId="0" fontId="27" fillId="0" borderId="0" xfId="22" applyFont="1" applyAlignment="1">
      <alignment horizontal="center" vertical="top"/>
    </xf>
    <xf numFmtId="49" fontId="27" fillId="0" borderId="0" xfId="22" applyNumberFormat="1" applyFont="1" applyAlignment="1">
      <alignment horizontal="left" vertical="top" wrapText="1"/>
    </xf>
    <xf numFmtId="43" fontId="27" fillId="0" borderId="0" xfId="1" applyFont="1" applyBorder="1" applyAlignment="1">
      <alignment horizontal="right" vertical="top"/>
    </xf>
    <xf numFmtId="49" fontId="27" fillId="0" borderId="0" xfId="22" applyNumberFormat="1" applyFont="1" applyAlignment="1">
      <alignment horizontal="right" vertical="top"/>
    </xf>
    <xf numFmtId="0" fontId="28" fillId="0" borderId="0" xfId="22" applyFont="1" applyAlignment="1">
      <alignment horizontal="left" vertical="top"/>
    </xf>
    <xf numFmtId="49" fontId="29" fillId="0" borderId="0" xfId="22" applyNumberFormat="1" applyFont="1" applyAlignment="1">
      <alignment horizontal="left" vertical="top"/>
    </xf>
    <xf numFmtId="49" fontId="29" fillId="0" borderId="0" xfId="22" applyNumberFormat="1" applyFont="1" applyAlignment="1">
      <alignment horizontal="left" vertical="top" wrapText="1"/>
    </xf>
    <xf numFmtId="43" fontId="29" fillId="0" borderId="0" xfId="1" applyFont="1" applyAlignment="1">
      <alignment horizontal="right" vertical="top"/>
    </xf>
    <xf numFmtId="49" fontId="29" fillId="0" borderId="0" xfId="22" applyNumberFormat="1" applyFont="1" applyAlignment="1">
      <alignment horizontal="right" vertical="top"/>
    </xf>
    <xf numFmtId="0" fontId="29" fillId="0" borderId="0" xfId="22" applyFont="1" applyAlignment="1">
      <alignment vertical="top"/>
    </xf>
    <xf numFmtId="0" fontId="15" fillId="0" borderId="0" xfId="22" applyFont="1" applyAlignment="1">
      <alignment horizontal="left" vertical="top"/>
    </xf>
    <xf numFmtId="49" fontId="30" fillId="0" borderId="0" xfId="22" applyNumberFormat="1" applyFont="1" applyAlignment="1">
      <alignment horizontal="left" vertical="top"/>
    </xf>
    <xf numFmtId="43" fontId="30" fillId="0" borderId="0" xfId="1" applyFont="1" applyFill="1" applyAlignment="1">
      <alignment horizontal="left" vertical="top"/>
    </xf>
    <xf numFmtId="49" fontId="31" fillId="0" borderId="0" xfId="22" applyNumberFormat="1" applyFont="1" applyAlignment="1">
      <alignment horizontal="left" vertical="top"/>
    </xf>
    <xf numFmtId="49" fontId="31" fillId="0" borderId="0" xfId="22" applyNumberFormat="1" applyFont="1" applyAlignment="1">
      <alignment horizontal="left" vertical="top" wrapText="1"/>
    </xf>
    <xf numFmtId="43" fontId="31" fillId="0" borderId="0" xfId="1" applyFont="1" applyAlignment="1">
      <alignment horizontal="left" vertical="top"/>
    </xf>
    <xf numFmtId="0" fontId="31" fillId="0" borderId="0" xfId="22" applyFont="1" applyAlignment="1">
      <alignment vertical="top"/>
    </xf>
    <xf numFmtId="0" fontId="29" fillId="0" borderId="0" xfId="22" applyFont="1" applyAlignment="1">
      <alignment horizontal="center" vertical="top"/>
    </xf>
    <xf numFmtId="43" fontId="29" fillId="0" borderId="0" xfId="1" applyFont="1" applyFill="1" applyAlignment="1">
      <alignment horizontal="right" vertical="top"/>
    </xf>
    <xf numFmtId="43" fontId="22" fillId="0" borderId="0" xfId="1" applyFont="1" applyFill="1" applyAlignment="1">
      <alignment horizontal="right" vertical="top"/>
    </xf>
    <xf numFmtId="49" fontId="22" fillId="0" borderId="0" xfId="22" applyNumberFormat="1" applyFont="1" applyAlignment="1">
      <alignment horizontal="center" vertical="top" shrinkToFit="1"/>
    </xf>
    <xf numFmtId="49" fontId="22" fillId="0" borderId="0" xfId="22" applyNumberFormat="1" applyFont="1" applyAlignment="1">
      <alignment vertical="top"/>
    </xf>
    <xf numFmtId="49" fontId="22" fillId="0" borderId="0" xfId="22" applyNumberFormat="1" applyFont="1" applyAlignment="1">
      <alignment horizontal="center" vertical="top"/>
    </xf>
    <xf numFmtId="166" fontId="22" fillId="0" borderId="0" xfId="1" applyNumberFormat="1" applyFont="1" applyAlignment="1">
      <alignment horizontal="center" vertical="top"/>
    </xf>
    <xf numFmtId="49" fontId="24" fillId="0" borderId="0" xfId="22" applyNumberFormat="1" applyFont="1" applyAlignment="1">
      <alignment horizontal="center" vertical="top" shrinkToFit="1"/>
    </xf>
    <xf numFmtId="49" fontId="24" fillId="0" borderId="0" xfId="22" applyNumberFormat="1" applyFont="1" applyAlignment="1">
      <alignment vertical="top"/>
    </xf>
    <xf numFmtId="49" fontId="24" fillId="0" borderId="0" xfId="22" applyNumberFormat="1" applyFont="1" applyAlignment="1">
      <alignment horizontal="center" vertical="top"/>
    </xf>
    <xf numFmtId="166" fontId="24" fillId="0" borderId="0" xfId="1" applyNumberFormat="1" applyFont="1" applyAlignment="1">
      <alignment horizontal="center" vertical="top"/>
    </xf>
    <xf numFmtId="49" fontId="24" fillId="5" borderId="2" xfId="22" applyNumberFormat="1" applyFont="1" applyFill="1" applyBorder="1" applyAlignment="1">
      <alignment horizontal="center" vertical="center" shrinkToFit="1"/>
    </xf>
    <xf numFmtId="166" fontId="24" fillId="5" borderId="2" xfId="1" applyNumberFormat="1" applyFont="1" applyFill="1" applyBorder="1" applyAlignment="1">
      <alignment horizontal="center" vertical="center" shrinkToFit="1"/>
    </xf>
    <xf numFmtId="49" fontId="24" fillId="5" borderId="6" xfId="22" applyNumberFormat="1" applyFont="1" applyFill="1" applyBorder="1" applyAlignment="1">
      <alignment horizontal="center" vertical="center"/>
    </xf>
    <xf numFmtId="49" fontId="24" fillId="5" borderId="3" xfId="22" applyNumberFormat="1" applyFont="1" applyFill="1" applyBorder="1" applyAlignment="1">
      <alignment horizontal="center" vertical="center" shrinkToFit="1"/>
    </xf>
    <xf numFmtId="166" fontId="24" fillId="5" borderId="3" xfId="1" applyNumberFormat="1" applyFont="1" applyFill="1" applyBorder="1" applyAlignment="1">
      <alignment horizontal="center" vertical="center" shrinkToFit="1"/>
    </xf>
    <xf numFmtId="49" fontId="22" fillId="0" borderId="6" xfId="22" applyNumberFormat="1" applyFont="1" applyBorder="1" applyAlignment="1">
      <alignment horizontal="center" vertical="top" shrinkToFit="1"/>
    </xf>
    <xf numFmtId="49" fontId="24" fillId="0" borderId="6" xfId="22" applyNumberFormat="1" applyFont="1" applyBorder="1" applyAlignment="1">
      <alignment vertical="top"/>
    </xf>
    <xf numFmtId="49" fontId="22" fillId="0" borderId="6" xfId="22" applyNumberFormat="1" applyFont="1" applyBorder="1" applyAlignment="1">
      <alignment horizontal="center" vertical="top"/>
    </xf>
    <xf numFmtId="166" fontId="22" fillId="0" borderId="6" xfId="1" applyNumberFormat="1" applyFont="1" applyBorder="1" applyAlignment="1">
      <alignment horizontal="center" vertical="top"/>
    </xf>
    <xf numFmtId="49" fontId="22" fillId="0" borderId="6" xfId="22" applyNumberFormat="1" applyFont="1" applyBorder="1" applyAlignment="1">
      <alignment vertical="top"/>
    </xf>
    <xf numFmtId="49" fontId="31" fillId="0" borderId="0" xfId="22" applyNumberFormat="1" applyFont="1" applyAlignment="1">
      <alignment vertical="top"/>
    </xf>
    <xf numFmtId="49" fontId="29" fillId="0" borderId="0" xfId="22" applyNumberFormat="1" applyFont="1" applyAlignment="1">
      <alignment horizontal="center" vertical="top" wrapText="1"/>
    </xf>
    <xf numFmtId="166" fontId="29" fillId="0" borderId="0" xfId="1" applyNumberFormat="1" applyFont="1" applyAlignment="1">
      <alignment horizontal="center" vertical="top" wrapText="1"/>
    </xf>
    <xf numFmtId="49" fontId="29" fillId="0" borderId="0" xfId="22" applyNumberFormat="1" applyFont="1" applyAlignment="1">
      <alignment horizontal="center" vertical="top"/>
    </xf>
    <xf numFmtId="49" fontId="29" fillId="0" borderId="0" xfId="22" applyNumberFormat="1" applyFont="1" applyAlignment="1">
      <alignment vertical="top"/>
    </xf>
    <xf numFmtId="49" fontId="10" fillId="0" borderId="0" xfId="22" applyNumberFormat="1" applyFont="1" applyAlignment="1">
      <alignment horizontal="center" vertical="top" shrinkToFit="1"/>
    </xf>
    <xf numFmtId="49" fontId="20" fillId="0" borderId="0" xfId="22" applyNumberFormat="1" applyFont="1" applyAlignment="1">
      <alignment horizontal="center" vertical="top"/>
    </xf>
    <xf numFmtId="166" fontId="20" fillId="0" borderId="0" xfId="1" applyNumberFormat="1" applyFont="1" applyAlignment="1">
      <alignment horizontal="center" vertical="top"/>
    </xf>
    <xf numFmtId="49" fontId="20" fillId="0" borderId="0" xfId="22" applyNumberFormat="1" applyFont="1" applyAlignment="1">
      <alignment horizontal="left" vertical="top"/>
    </xf>
    <xf numFmtId="49" fontId="24" fillId="0" borderId="0" xfId="22" applyNumberFormat="1" applyFont="1" applyAlignment="1">
      <alignment horizontal="center" vertical="top" wrapText="1"/>
    </xf>
    <xf numFmtId="49" fontId="24" fillId="0" borderId="0" xfId="22" applyNumberFormat="1" applyFont="1" applyAlignment="1">
      <alignment horizontal="left" vertical="top"/>
    </xf>
    <xf numFmtId="49" fontId="22" fillId="0" borderId="0" xfId="22" applyNumberFormat="1" applyFont="1" applyAlignment="1">
      <alignment horizontal="center" vertical="top" wrapText="1"/>
    </xf>
    <xf numFmtId="166" fontId="22" fillId="0" borderId="0" xfId="1" applyNumberFormat="1" applyFont="1" applyAlignment="1">
      <alignment horizontal="center" vertical="top" wrapText="1"/>
    </xf>
    <xf numFmtId="0" fontId="22" fillId="0" borderId="0" xfId="24" applyFont="1" applyAlignment="1">
      <alignment horizontal="center" vertical="top"/>
    </xf>
    <xf numFmtId="0" fontId="22" fillId="0" borderId="0" xfId="24" applyFont="1" applyAlignment="1">
      <alignment vertical="top" wrapText="1"/>
    </xf>
    <xf numFmtId="0" fontId="22" fillId="0" borderId="0" xfId="24" applyFont="1" applyAlignment="1">
      <alignment vertical="top"/>
    </xf>
    <xf numFmtId="0" fontId="24" fillId="6" borderId="0" xfId="24" applyFont="1" applyFill="1" applyAlignment="1">
      <alignment horizontal="center" vertical="top"/>
    </xf>
    <xf numFmtId="0" fontId="22" fillId="0" borderId="0" xfId="24" applyFont="1"/>
    <xf numFmtId="0" fontId="22" fillId="0" borderId="0" xfId="24" applyFont="1" applyAlignment="1">
      <alignment horizontal="left" vertical="top"/>
    </xf>
    <xf numFmtId="0" fontId="24" fillId="0" borderId="0" xfId="24" applyFont="1" applyAlignment="1">
      <alignment horizontal="center" vertical="center" wrapText="1"/>
    </xf>
    <xf numFmtId="0" fontId="24" fillId="5" borderId="6" xfId="24" applyFont="1" applyFill="1" applyBorder="1" applyAlignment="1">
      <alignment horizontal="center" vertical="center" wrapText="1"/>
    </xf>
    <xf numFmtId="0" fontId="22" fillId="0" borderId="0" xfId="24" applyFont="1" applyAlignment="1">
      <alignment horizontal="center" vertical="center"/>
    </xf>
    <xf numFmtId="0" fontId="24" fillId="6" borderId="6" xfId="24" applyFont="1" applyFill="1" applyBorder="1" applyAlignment="1">
      <alignment horizontal="center" vertical="top"/>
    </xf>
    <xf numFmtId="0" fontId="22" fillId="0" borderId="6" xfId="24" applyFont="1" applyBorder="1" applyAlignment="1">
      <alignment horizontal="center" vertical="top"/>
    </xf>
    <xf numFmtId="0" fontId="22" fillId="0" borderId="6" xfId="24" applyFont="1" applyBorder="1" applyAlignment="1">
      <alignment vertical="top" wrapText="1"/>
    </xf>
    <xf numFmtId="0" fontId="22" fillId="0" borderId="7" xfId="24" applyFont="1" applyBorder="1" applyAlignment="1">
      <alignment vertical="top"/>
    </xf>
    <xf numFmtId="0" fontId="22" fillId="0" borderId="9" xfId="24" applyFont="1" applyBorder="1" applyAlignment="1">
      <alignment vertical="top"/>
    </xf>
    <xf numFmtId="0" fontId="22" fillId="0" borderId="6" xfId="0" applyFont="1" applyBorder="1" applyAlignment="1">
      <alignment horizontal="left" vertical="center"/>
    </xf>
    <xf numFmtId="0" fontId="22" fillId="0" borderId="6" xfId="24" applyFont="1" applyBorder="1" applyAlignment="1">
      <alignment horizontal="left" vertical="top" wrapText="1"/>
    </xf>
    <xf numFmtId="0" fontId="22" fillId="0" borderId="2" xfId="24" applyFont="1" applyBorder="1" applyAlignment="1">
      <alignment horizontal="center" vertical="top"/>
    </xf>
    <xf numFmtId="0" fontId="23" fillId="0" borderId="0" xfId="22" applyFont="1" applyAlignment="1">
      <alignment horizontal="center" vertical="top"/>
    </xf>
    <xf numFmtId="0" fontId="25" fillId="5" borderId="6" xfId="22" applyFont="1" applyFill="1" applyBorder="1" applyAlignment="1">
      <alignment horizontal="center" vertical="center" wrapText="1"/>
    </xf>
    <xf numFmtId="0" fontId="25" fillId="5" borderId="6" xfId="22" applyFont="1" applyFill="1" applyBorder="1" applyAlignment="1">
      <alignment horizontal="center" vertical="center"/>
    </xf>
    <xf numFmtId="49" fontId="25" fillId="5" borderId="6" xfId="22" applyNumberFormat="1" applyFont="1" applyFill="1" applyBorder="1" applyAlignment="1">
      <alignment horizontal="center" vertical="center" wrapText="1"/>
    </xf>
    <xf numFmtId="0" fontId="24" fillId="5" borderId="6" xfId="22" applyFont="1" applyFill="1" applyBorder="1" applyAlignment="1">
      <alignment horizontal="center" vertical="center" wrapText="1"/>
    </xf>
    <xf numFmtId="49" fontId="10" fillId="6" borderId="0" xfId="0" applyNumberFormat="1" applyFont="1" applyFill="1" applyAlignment="1">
      <alignment horizontal="center" vertical="top" shrinkToFit="1"/>
    </xf>
    <xf numFmtId="49" fontId="10" fillId="5" borderId="2" xfId="0" applyNumberFormat="1" applyFont="1" applyFill="1" applyBorder="1" applyAlignment="1">
      <alignment horizontal="center" vertical="center" shrinkToFit="1"/>
    </xf>
    <xf numFmtId="49" fontId="10" fillId="5" borderId="3" xfId="0" applyNumberFormat="1" applyFont="1" applyFill="1" applyBorder="1" applyAlignment="1">
      <alignment horizontal="center" vertical="center" shrinkToFit="1"/>
    </xf>
    <xf numFmtId="0" fontId="12" fillId="0" borderId="0" xfId="7" applyFont="1" applyAlignment="1">
      <alignment horizontal="center" vertical="center"/>
    </xf>
    <xf numFmtId="0" fontId="12" fillId="0" borderId="0" xfId="7" applyFont="1" applyAlignment="1">
      <alignment horizontal="center" vertical="center" wrapText="1"/>
    </xf>
    <xf numFmtId="49" fontId="10" fillId="5" borderId="2" xfId="0" applyNumberFormat="1" applyFont="1" applyFill="1" applyBorder="1" applyAlignment="1">
      <alignment horizontal="center" vertical="center" wrapText="1" shrinkToFit="1"/>
    </xf>
    <xf numFmtId="49" fontId="10" fillId="5" borderId="2" xfId="1" applyNumberFormat="1" applyFont="1" applyFill="1" applyBorder="1" applyAlignment="1">
      <alignment horizontal="center" vertical="center" shrinkToFit="1"/>
    </xf>
    <xf numFmtId="49" fontId="10" fillId="5" borderId="3" xfId="1" applyNumberFormat="1" applyFont="1" applyFill="1" applyBorder="1" applyAlignment="1">
      <alignment horizontal="center" vertical="center" shrinkToFit="1"/>
    </xf>
    <xf numFmtId="49" fontId="10" fillId="5" borderId="2" xfId="1" applyNumberFormat="1" applyFont="1" applyFill="1" applyBorder="1" applyAlignment="1">
      <alignment horizontal="center" vertical="center" wrapText="1" shrinkToFit="1"/>
    </xf>
    <xf numFmtId="49" fontId="10" fillId="5" borderId="10" xfId="1" applyNumberFormat="1" applyFont="1" applyFill="1" applyBorder="1" applyAlignment="1">
      <alignment horizontal="center" vertical="center" shrinkToFit="1"/>
    </xf>
    <xf numFmtId="49" fontId="10" fillId="5" borderId="11" xfId="1" applyNumberFormat="1" applyFont="1" applyFill="1" applyBorder="1" applyAlignment="1">
      <alignment horizontal="center" vertical="center" shrinkToFit="1"/>
    </xf>
    <xf numFmtId="49" fontId="10" fillId="5" borderId="12" xfId="1" applyNumberFormat="1" applyFont="1" applyFill="1" applyBorder="1" applyAlignment="1">
      <alignment horizontal="center" vertical="center" shrinkToFit="1"/>
    </xf>
    <xf numFmtId="49" fontId="10" fillId="5" borderId="13" xfId="1" applyNumberFormat="1" applyFont="1" applyFill="1" applyBorder="1" applyAlignment="1">
      <alignment horizontal="center" vertical="center" shrinkToFit="1"/>
    </xf>
    <xf numFmtId="49" fontId="24" fillId="6" borderId="0" xfId="22" applyNumberFormat="1" applyFont="1" applyFill="1" applyAlignment="1">
      <alignment horizontal="center" vertical="top"/>
    </xf>
    <xf numFmtId="49" fontId="24" fillId="5" borderId="6" xfId="22" applyNumberFormat="1" applyFont="1" applyFill="1" applyBorder="1" applyAlignment="1">
      <alignment horizontal="center" vertical="center"/>
    </xf>
    <xf numFmtId="49" fontId="23" fillId="0" borderId="0" xfId="22" applyNumberFormat="1" applyFont="1" applyAlignment="1">
      <alignment horizontal="center" vertical="top"/>
    </xf>
    <xf numFmtId="49" fontId="24" fillId="5" borderId="2" xfId="22" applyNumberFormat="1" applyFont="1" applyFill="1" applyBorder="1" applyAlignment="1">
      <alignment horizontal="center" vertical="center"/>
    </xf>
    <xf numFmtId="49" fontId="24" fillId="5" borderId="3" xfId="22" applyNumberFormat="1" applyFont="1" applyFill="1" applyBorder="1" applyAlignment="1">
      <alignment horizontal="center" vertical="center"/>
    </xf>
    <xf numFmtId="49" fontId="24" fillId="5" borderId="2" xfId="22" applyNumberFormat="1" applyFont="1" applyFill="1" applyBorder="1" applyAlignment="1">
      <alignment horizontal="center" vertical="center" wrapText="1"/>
    </xf>
    <xf numFmtId="49" fontId="24" fillId="5" borderId="3" xfId="22" applyNumberFormat="1" applyFont="1" applyFill="1" applyBorder="1" applyAlignment="1">
      <alignment horizontal="center" vertical="center" wrapText="1"/>
    </xf>
    <xf numFmtId="49" fontId="24" fillId="5" borderId="2" xfId="22" applyNumberFormat="1" applyFont="1" applyFill="1" applyBorder="1" applyAlignment="1">
      <alignment horizontal="center" vertical="center" shrinkToFit="1"/>
    </xf>
    <xf numFmtId="49" fontId="24" fillId="5" borderId="3" xfId="22" applyNumberFormat="1" applyFont="1" applyFill="1" applyBorder="1" applyAlignment="1">
      <alignment horizontal="center" vertical="center" shrinkToFit="1"/>
    </xf>
    <xf numFmtId="166" fontId="24" fillId="5" borderId="2" xfId="1" applyNumberFormat="1" applyFont="1" applyFill="1" applyBorder="1" applyAlignment="1">
      <alignment horizontal="center" vertical="center" shrinkToFit="1"/>
    </xf>
    <xf numFmtId="166" fontId="24" fillId="5" borderId="3" xfId="1" applyNumberFormat="1" applyFont="1" applyFill="1" applyBorder="1" applyAlignment="1">
      <alignment horizontal="center" vertical="center" shrinkToFit="1"/>
    </xf>
    <xf numFmtId="0" fontId="24" fillId="6" borderId="6" xfId="24" applyFont="1" applyFill="1" applyBorder="1" applyAlignment="1">
      <alignment horizontal="left" vertical="top" wrapText="1"/>
    </xf>
    <xf numFmtId="0" fontId="24" fillId="6" borderId="7" xfId="24" applyFont="1" applyFill="1" applyBorder="1" applyAlignment="1">
      <alignment horizontal="left" vertical="top" wrapText="1"/>
    </xf>
    <xf numFmtId="0" fontId="24" fillId="6" borderId="8" xfId="24" applyFont="1" applyFill="1" applyBorder="1" applyAlignment="1">
      <alignment horizontal="left" vertical="top" wrapText="1"/>
    </xf>
    <xf numFmtId="0" fontId="24" fillId="6" borderId="9" xfId="24" applyFont="1" applyFill="1" applyBorder="1" applyAlignment="1">
      <alignment horizontal="left" vertical="top" wrapText="1"/>
    </xf>
    <xf numFmtId="0" fontId="23" fillId="0" borderId="0" xfId="24" applyFont="1" applyAlignment="1">
      <alignment horizontal="center" vertical="center" wrapText="1"/>
    </xf>
    <xf numFmtId="0" fontId="24" fillId="5" borderId="6" xfId="24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top"/>
    </xf>
    <xf numFmtId="166" fontId="13" fillId="0" borderId="6" xfId="0" applyNumberFormat="1" applyFont="1" applyBorder="1"/>
    <xf numFmtId="2" fontId="13" fillId="0" borderId="6" xfId="0" applyNumberFormat="1" applyFont="1" applyBorder="1"/>
    <xf numFmtId="0" fontId="13" fillId="0" borderId="10" xfId="0" applyFont="1" applyBorder="1"/>
    <xf numFmtId="43" fontId="13" fillId="0" borderId="6" xfId="0" applyNumberFormat="1" applyFont="1" applyBorder="1"/>
  </cellXfs>
  <cellStyles count="25">
    <cellStyle name="Comma" xfId="1" builtinId="3"/>
    <cellStyle name="Comma 10 10" xfId="2" xr:uid="{00000000-0005-0000-0000-000001000000}"/>
    <cellStyle name="Comma 2" xfId="3" xr:uid="{00000000-0005-0000-0000-000002000000}"/>
    <cellStyle name="Comma 3" xfId="4" xr:uid="{00000000-0005-0000-0000-000003000000}"/>
    <cellStyle name="Comma 5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24" xr:uid="{8F38F78C-3ECE-4CC3-8226-CD8BEECA8A32}"/>
    <cellStyle name="Normal 2 3" xfId="8" xr:uid="{00000000-0005-0000-0000-000008000000}"/>
    <cellStyle name="Normal 3" xfId="9" xr:uid="{00000000-0005-0000-0000-000009000000}"/>
    <cellStyle name="Normal 4" xfId="10" xr:uid="{00000000-0005-0000-0000-00000A000000}"/>
    <cellStyle name="Normal 5" xfId="22" xr:uid="{F93AFD99-1258-47D3-94CB-199DCD4BE08E}"/>
    <cellStyle name="Normal 6" xfId="11" xr:uid="{00000000-0005-0000-0000-00000B000000}"/>
    <cellStyle name="Normal 7" xfId="23" xr:uid="{61A77FF4-C8A7-4021-9AD1-1A870E0F5C4B}"/>
    <cellStyle name="เครื่องหมายจุลภาค 4" xfId="12" xr:uid="{00000000-0005-0000-0000-00000C000000}"/>
    <cellStyle name="เครื่องหมายจุลภาค 4 2" xfId="13" xr:uid="{00000000-0005-0000-0000-00000D000000}"/>
    <cellStyle name="จุลภาค 2" xfId="14" xr:uid="{00000000-0005-0000-0000-00000E000000}"/>
    <cellStyle name="จุลภาค 3" xfId="15" xr:uid="{00000000-0005-0000-0000-00000F000000}"/>
    <cellStyle name="จุลภาค 3 2" xfId="16" xr:uid="{00000000-0005-0000-0000-000010000000}"/>
    <cellStyle name="จุลภาค 4" xfId="17" xr:uid="{00000000-0005-0000-0000-000011000000}"/>
    <cellStyle name="ปกติ 2" xfId="18" xr:uid="{00000000-0005-0000-0000-000012000000}"/>
    <cellStyle name="ปกติ 2 2" xfId="19" xr:uid="{00000000-0005-0000-0000-000013000000}"/>
    <cellStyle name="ปกติ 2 2 2" xfId="20" xr:uid="{00000000-0005-0000-0000-000014000000}"/>
    <cellStyle name="ปกติ 4" xfId="21" xr:uid="{00000000-0005-0000-0000-000015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184731" cy="26257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134163-A789-4DD2-B512-2965816133B6}"/>
            </a:ext>
          </a:extLst>
        </xdr:cNvPr>
        <xdr:cNvSpPr txBox="1"/>
      </xdr:nvSpPr>
      <xdr:spPr>
        <a:xfrm>
          <a:off x="7629525" y="231457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W58"/>
  <sheetViews>
    <sheetView tabSelected="1" view="pageBreakPreview" zoomScale="115" zoomScaleNormal="115" zoomScaleSheetLayoutView="115" zoomScalePageLayoutView="85" workbookViewId="0">
      <selection activeCell="C5" sqref="C5"/>
    </sheetView>
  </sheetViews>
  <sheetFormatPr defaultColWidth="33" defaultRowHeight="18.75"/>
  <cols>
    <col min="1" max="1" width="5" style="86" customWidth="1"/>
    <col min="2" max="2" width="32.85546875" style="2" customWidth="1"/>
    <col min="3" max="3" width="40" style="2" customWidth="1"/>
    <col min="4" max="4" width="16.42578125" style="3" customWidth="1"/>
    <col min="5" max="5" width="7.7109375" style="3" customWidth="1"/>
    <col min="6" max="6" width="7.140625" style="4" customWidth="1"/>
    <col min="7" max="7" width="16.42578125" style="5" customWidth="1"/>
    <col min="8" max="8" width="8.140625" style="6" customWidth="1"/>
    <col min="9" max="9" width="8.140625" style="7" customWidth="1"/>
    <col min="10" max="10" width="34.28515625" style="2" customWidth="1"/>
    <col min="11" max="11" width="16.42578125" style="2" customWidth="1"/>
    <col min="12" max="12" width="3.28515625" style="9" customWidth="1"/>
    <col min="13" max="13" width="6.7109375" style="9" customWidth="1"/>
    <col min="14" max="14" width="23.85546875" style="9" customWidth="1"/>
    <col min="15" max="15" width="11.7109375" style="9" customWidth="1"/>
    <col min="16" max="254" width="9.140625" style="9" customWidth="1"/>
    <col min="255" max="255" width="5.140625" style="9" customWidth="1"/>
    <col min="256" max="16384" width="33" style="9"/>
  </cols>
  <sheetData>
    <row r="1" spans="1:257">
      <c r="A1" s="1"/>
      <c r="J1" s="188" t="s">
        <v>119</v>
      </c>
      <c r="K1" s="188"/>
    </row>
    <row r="2" spans="1:257" s="10" customFormat="1" ht="27" customHeight="1">
      <c r="A2" s="192" t="s">
        <v>113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57" s="10" customFormat="1" ht="23.25" customHeight="1">
      <c r="A3" s="192" t="s">
        <v>121</v>
      </c>
      <c r="B3" s="191"/>
      <c r="C3" s="191"/>
      <c r="D3" s="191"/>
      <c r="E3" s="191"/>
      <c r="F3" s="191"/>
      <c r="G3" s="191"/>
      <c r="H3" s="191"/>
      <c r="I3" s="191"/>
      <c r="J3" s="191"/>
      <c r="K3" s="191"/>
    </row>
    <row r="4" spans="1:257" s="10" customFormat="1" ht="23.25" customHeight="1">
      <c r="A4" s="191" t="s">
        <v>137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</row>
    <row r="5" spans="1:257" s="10" customFormat="1" ht="11.25" customHeight="1">
      <c r="A5" s="11"/>
      <c r="B5" s="12"/>
      <c r="C5" s="11"/>
      <c r="D5" s="13"/>
      <c r="E5" s="13"/>
      <c r="F5" s="11"/>
      <c r="G5" s="13"/>
      <c r="H5" s="14"/>
      <c r="I5" s="15"/>
      <c r="J5" s="11"/>
      <c r="K5" s="16"/>
    </row>
    <row r="6" spans="1:257" s="17" customFormat="1" ht="18.75" customHeight="1">
      <c r="A6" s="189" t="s">
        <v>101</v>
      </c>
      <c r="B6" s="189" t="s">
        <v>0</v>
      </c>
      <c r="C6" s="189" t="s">
        <v>7</v>
      </c>
      <c r="D6" s="196" t="s">
        <v>138</v>
      </c>
      <c r="E6" s="194" t="s">
        <v>1</v>
      </c>
      <c r="F6" s="189" t="s">
        <v>2</v>
      </c>
      <c r="G6" s="196" t="s">
        <v>120</v>
      </c>
      <c r="H6" s="199" t="s">
        <v>65</v>
      </c>
      <c r="I6" s="200"/>
      <c r="J6" s="193" t="s">
        <v>88</v>
      </c>
      <c r="K6" s="189" t="s">
        <v>13</v>
      </c>
      <c r="M6" s="9" t="s">
        <v>154</v>
      </c>
      <c r="N6" s="29"/>
      <c r="O6" s="29"/>
    </row>
    <row r="7" spans="1:257" s="17" customFormat="1" ht="19.5" customHeight="1">
      <c r="A7" s="190"/>
      <c r="B7" s="190"/>
      <c r="C7" s="190"/>
      <c r="D7" s="195"/>
      <c r="E7" s="195"/>
      <c r="F7" s="190"/>
      <c r="G7" s="195"/>
      <c r="H7" s="197" t="s">
        <v>66</v>
      </c>
      <c r="I7" s="198"/>
      <c r="J7" s="190"/>
      <c r="K7" s="190"/>
      <c r="M7" s="218" t="s">
        <v>150</v>
      </c>
      <c r="N7" s="219">
        <f>SUM(G8:G11,G16:G19)</f>
        <v>0</v>
      </c>
      <c r="O7" s="220" t="e">
        <f>N7*100/N11</f>
        <v>#DIV/0!</v>
      </c>
    </row>
    <row r="8" spans="1:257" ht="18.75" customHeight="1">
      <c r="A8" s="18">
        <v>1</v>
      </c>
      <c r="B8" s="19" t="s">
        <v>12</v>
      </c>
      <c r="C8" s="20" t="s">
        <v>20</v>
      </c>
      <c r="D8" s="21"/>
      <c r="E8" s="22"/>
      <c r="F8" s="23"/>
      <c r="G8" s="24"/>
      <c r="H8" s="25"/>
      <c r="I8" s="26"/>
      <c r="J8" s="27" t="s">
        <v>158</v>
      </c>
      <c r="K8" s="28" t="s">
        <v>65</v>
      </c>
      <c r="M8" s="218" t="s">
        <v>151</v>
      </c>
      <c r="N8" s="219">
        <f>SUM(G12:G15)</f>
        <v>0</v>
      </c>
      <c r="O8" s="220" t="e">
        <f>N8*100/N11</f>
        <v>#DIV/0!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29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</row>
    <row r="9" spans="1:257" ht="18.75" customHeight="1">
      <c r="A9" s="30"/>
      <c r="B9" s="31"/>
      <c r="C9" s="32" t="s">
        <v>14</v>
      </c>
      <c r="D9" s="33"/>
      <c r="E9" s="34"/>
      <c r="F9" s="35"/>
      <c r="G9" s="36">
        <f>D9*E9</f>
        <v>0</v>
      </c>
      <c r="H9" s="37" t="s">
        <v>60</v>
      </c>
      <c r="I9" s="38" t="s">
        <v>67</v>
      </c>
      <c r="J9" s="48" t="s">
        <v>159</v>
      </c>
      <c r="K9" s="40" t="s">
        <v>139</v>
      </c>
      <c r="M9" s="218" t="s">
        <v>152</v>
      </c>
      <c r="N9" s="219">
        <f>SUM(G20:G31)</f>
        <v>0</v>
      </c>
      <c r="O9" s="220" t="e">
        <f>N9*100/N11</f>
        <v>#DIV/0!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</row>
    <row r="10" spans="1:257" ht="18.75" customHeight="1">
      <c r="A10" s="30"/>
      <c r="B10" s="31"/>
      <c r="C10" s="32" t="s">
        <v>15</v>
      </c>
      <c r="D10" s="33"/>
      <c r="E10" s="34"/>
      <c r="F10" s="41"/>
      <c r="G10" s="36">
        <f>D10*E10</f>
        <v>0</v>
      </c>
      <c r="H10" s="37" t="s">
        <v>60</v>
      </c>
      <c r="I10" s="38" t="s">
        <v>68</v>
      </c>
      <c r="J10" s="39"/>
      <c r="K10" s="40" t="s">
        <v>140</v>
      </c>
      <c r="M10" s="218" t="s">
        <v>153</v>
      </c>
      <c r="N10" s="219">
        <f>SUM(G32:G41)</f>
        <v>0</v>
      </c>
      <c r="O10" s="220" t="e">
        <f>N10*100/N11</f>
        <v>#DIV/0!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29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</row>
    <row r="11" spans="1:257" ht="18.75" customHeight="1">
      <c r="A11" s="30"/>
      <c r="B11" s="42" t="s">
        <v>71</v>
      </c>
      <c r="C11" s="32" t="s">
        <v>16</v>
      </c>
      <c r="D11" s="33"/>
      <c r="E11" s="34"/>
      <c r="F11" s="35"/>
      <c r="G11" s="36">
        <f>D11*E11</f>
        <v>0</v>
      </c>
      <c r="H11" s="37" t="s">
        <v>61</v>
      </c>
      <c r="I11" s="38" t="s">
        <v>68</v>
      </c>
      <c r="J11" s="43"/>
      <c r="K11" s="40" t="s">
        <v>141</v>
      </c>
      <c r="M11" s="221"/>
      <c r="N11" s="219">
        <f>SUM(N7:N10)</f>
        <v>0</v>
      </c>
      <c r="O11" s="222" t="e">
        <f>SUM(O7:O10)</f>
        <v>#DIV/0!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</row>
    <row r="12" spans="1:257" ht="18.75" customHeight="1">
      <c r="A12" s="30"/>
      <c r="B12" s="42" t="s">
        <v>70</v>
      </c>
      <c r="C12" s="44" t="s">
        <v>74</v>
      </c>
      <c r="D12" s="33"/>
      <c r="E12" s="34"/>
      <c r="F12" s="35"/>
      <c r="G12" s="36"/>
      <c r="H12" s="37"/>
      <c r="I12" s="38"/>
      <c r="J12" s="43"/>
      <c r="K12" s="40" t="s">
        <v>142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T12" s="29"/>
      <c r="GU12" s="29"/>
      <c r="GV12" s="29"/>
      <c r="GW12" s="29"/>
      <c r="GX12" s="29"/>
      <c r="GY12" s="29"/>
      <c r="GZ12" s="29"/>
      <c r="HA12" s="29"/>
      <c r="HB12" s="29"/>
      <c r="HC12" s="29"/>
      <c r="HD12" s="29"/>
      <c r="HE12" s="29"/>
      <c r="HF12" s="29"/>
      <c r="HG12" s="29"/>
      <c r="HH12" s="29"/>
      <c r="HI12" s="29"/>
      <c r="HJ12" s="29"/>
      <c r="HK12" s="29"/>
      <c r="HL12" s="2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</row>
    <row r="13" spans="1:257" ht="18.75" customHeight="1">
      <c r="A13" s="30"/>
      <c r="B13" s="45" t="s">
        <v>143</v>
      </c>
      <c r="C13" s="32" t="s">
        <v>17</v>
      </c>
      <c r="D13" s="33"/>
      <c r="E13" s="34"/>
      <c r="F13" s="35"/>
      <c r="G13" s="36">
        <f t="shared" ref="G13:G15" si="0">D13*E13</f>
        <v>0</v>
      </c>
      <c r="H13" s="37" t="s">
        <v>60</v>
      </c>
      <c r="I13" s="38" t="s">
        <v>67</v>
      </c>
      <c r="J13" s="43"/>
      <c r="K13" s="40" t="s">
        <v>144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T13" s="29"/>
      <c r="GU13" s="29"/>
      <c r="GV13" s="29"/>
      <c r="GW13" s="29"/>
      <c r="GX13" s="29"/>
      <c r="GY13" s="29"/>
      <c r="GZ13" s="29"/>
      <c r="HA13" s="29"/>
      <c r="HB13" s="29"/>
      <c r="HC13" s="29"/>
      <c r="HD13" s="29"/>
      <c r="HE13" s="29"/>
      <c r="HF13" s="29"/>
      <c r="HG13" s="29"/>
      <c r="HH13" s="29"/>
      <c r="HI13" s="29"/>
      <c r="HJ13" s="29"/>
      <c r="HK13" s="29"/>
      <c r="HL13" s="2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</row>
    <row r="14" spans="1:257" ht="18.75" customHeight="1">
      <c r="A14" s="30"/>
      <c r="B14" s="46" t="s">
        <v>131</v>
      </c>
      <c r="C14" s="32" t="s">
        <v>18</v>
      </c>
      <c r="D14" s="33"/>
      <c r="E14" s="34"/>
      <c r="F14" s="35"/>
      <c r="G14" s="36">
        <f t="shared" si="0"/>
        <v>0</v>
      </c>
      <c r="H14" s="37" t="s">
        <v>60</v>
      </c>
      <c r="I14" s="38" t="s">
        <v>67</v>
      </c>
      <c r="J14" s="43"/>
      <c r="K14" s="40" t="s">
        <v>37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</row>
    <row r="15" spans="1:257" ht="18.75" customHeight="1">
      <c r="A15" s="30"/>
      <c r="B15" s="46" t="s">
        <v>132</v>
      </c>
      <c r="C15" s="32" t="s">
        <v>19</v>
      </c>
      <c r="D15" s="33"/>
      <c r="E15" s="34"/>
      <c r="F15" s="35"/>
      <c r="G15" s="36">
        <f t="shared" si="0"/>
        <v>0</v>
      </c>
      <c r="H15" s="37" t="s">
        <v>60</v>
      </c>
      <c r="I15" s="38" t="s">
        <v>67</v>
      </c>
      <c r="J15" s="43"/>
      <c r="K15" s="40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T15" s="29"/>
      <c r="GU15" s="29"/>
      <c r="GV15" s="29"/>
      <c r="GW15" s="29"/>
      <c r="GX15" s="29"/>
      <c r="GY15" s="29"/>
      <c r="GZ15" s="29"/>
      <c r="HA15" s="29"/>
      <c r="HB15" s="29"/>
      <c r="HC15" s="29"/>
      <c r="HD15" s="29"/>
      <c r="HE15" s="29"/>
      <c r="HF15" s="29"/>
      <c r="HG15" s="29"/>
      <c r="HH15" s="29"/>
      <c r="HI15" s="29"/>
      <c r="HJ15" s="29"/>
      <c r="HK15" s="29"/>
      <c r="HL15" s="2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</row>
    <row r="16" spans="1:257" ht="18.75" customHeight="1">
      <c r="A16" s="30"/>
      <c r="B16" s="46" t="s">
        <v>133</v>
      </c>
      <c r="C16" s="44" t="s">
        <v>73</v>
      </c>
      <c r="D16" s="33"/>
      <c r="E16" s="34"/>
      <c r="F16" s="41"/>
      <c r="G16" s="36"/>
      <c r="H16" s="37"/>
      <c r="I16" s="38"/>
      <c r="J16" s="39"/>
      <c r="K16" s="47" t="s">
        <v>94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T16" s="29"/>
      <c r="GU16" s="29"/>
      <c r="GV16" s="29"/>
      <c r="GW16" s="29"/>
      <c r="GX16" s="29"/>
      <c r="GY16" s="29"/>
      <c r="GZ16" s="29"/>
      <c r="HA16" s="29"/>
      <c r="HB16" s="29"/>
      <c r="HC16" s="29"/>
      <c r="HD16" s="29"/>
      <c r="HE16" s="29"/>
      <c r="HF16" s="29"/>
      <c r="HG16" s="29"/>
      <c r="HH16" s="29"/>
      <c r="HI16" s="29"/>
      <c r="HJ16" s="29"/>
      <c r="HK16" s="29"/>
      <c r="HL16" s="2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</row>
    <row r="17" spans="1:257" ht="18.75" customHeight="1">
      <c r="A17" s="30"/>
      <c r="B17" s="48" t="s">
        <v>134</v>
      </c>
      <c r="C17" s="32" t="s">
        <v>75</v>
      </c>
      <c r="D17" s="33"/>
      <c r="E17" s="34"/>
      <c r="F17" s="35"/>
      <c r="G17" s="36">
        <f>D17*E17</f>
        <v>0</v>
      </c>
      <c r="H17" s="37" t="s">
        <v>60</v>
      </c>
      <c r="I17" s="38" t="s">
        <v>67</v>
      </c>
      <c r="J17" s="39"/>
      <c r="K17" s="49" t="s">
        <v>145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</row>
    <row r="18" spans="1:257" ht="18.75" customHeight="1">
      <c r="A18" s="30"/>
      <c r="B18" s="50" t="s">
        <v>135</v>
      </c>
      <c r="C18" s="32" t="s">
        <v>76</v>
      </c>
      <c r="D18" s="33"/>
      <c r="E18" s="34"/>
      <c r="F18" s="41"/>
      <c r="G18" s="36">
        <f>D18*E18</f>
        <v>0</v>
      </c>
      <c r="H18" s="37" t="s">
        <v>60</v>
      </c>
      <c r="I18" s="38" t="s">
        <v>67</v>
      </c>
      <c r="J18" s="39"/>
      <c r="K18" s="49" t="s">
        <v>146</v>
      </c>
      <c r="M18" s="5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T18" s="29"/>
      <c r="GU18" s="29"/>
      <c r="GV18" s="29"/>
      <c r="GW18" s="29"/>
      <c r="GX18" s="29"/>
      <c r="GY18" s="29"/>
      <c r="GZ18" s="29"/>
      <c r="HA18" s="29"/>
      <c r="HB18" s="29"/>
      <c r="HC18" s="29"/>
      <c r="HD18" s="29"/>
      <c r="HE18" s="29"/>
      <c r="HF18" s="29"/>
      <c r="HG18" s="29"/>
      <c r="HH18" s="29"/>
      <c r="HI18" s="29"/>
      <c r="HJ18" s="29"/>
      <c r="HK18" s="29"/>
      <c r="HL18" s="2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</row>
    <row r="19" spans="1:257" ht="18.75" customHeight="1">
      <c r="A19" s="30"/>
      <c r="B19" s="45" t="s">
        <v>8</v>
      </c>
      <c r="C19" s="32" t="s">
        <v>77</v>
      </c>
      <c r="D19" s="33"/>
      <c r="E19" s="34"/>
      <c r="F19" s="35"/>
      <c r="G19" s="36">
        <f>D19*E19</f>
        <v>0</v>
      </c>
      <c r="H19" s="37" t="s">
        <v>61</v>
      </c>
      <c r="I19" s="38" t="s">
        <v>67</v>
      </c>
      <c r="J19" s="39"/>
      <c r="K19" s="39"/>
      <c r="M19" s="52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</row>
    <row r="20" spans="1:257" ht="18.75" customHeight="1">
      <c r="A20" s="30"/>
      <c r="B20" s="48" t="s">
        <v>128</v>
      </c>
      <c r="C20" s="44" t="s">
        <v>136</v>
      </c>
      <c r="D20" s="33"/>
      <c r="E20" s="34"/>
      <c r="F20" s="41"/>
      <c r="G20" s="36"/>
      <c r="H20" s="37"/>
      <c r="I20" s="38"/>
      <c r="J20" s="39"/>
      <c r="K20" s="3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</row>
    <row r="21" spans="1:257" ht="18.75" customHeight="1">
      <c r="A21" s="30"/>
      <c r="B21" s="48" t="s">
        <v>129</v>
      </c>
      <c r="C21" s="32" t="s">
        <v>78</v>
      </c>
      <c r="D21" s="33">
        <f>100000*1.07</f>
        <v>107000</v>
      </c>
      <c r="E21" s="34"/>
      <c r="F21" s="35" t="s">
        <v>5</v>
      </c>
      <c r="G21" s="36">
        <f>D21*E21</f>
        <v>0</v>
      </c>
      <c r="H21" s="37" t="s">
        <v>60</v>
      </c>
      <c r="I21" s="38"/>
      <c r="J21" s="53" t="s">
        <v>57</v>
      </c>
      <c r="K21" s="3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</row>
    <row r="22" spans="1:257" ht="18.75" customHeight="1">
      <c r="A22" s="30"/>
      <c r="B22" s="48" t="s">
        <v>130</v>
      </c>
      <c r="C22" s="32" t="s">
        <v>21</v>
      </c>
      <c r="D22" s="33"/>
      <c r="E22" s="34"/>
      <c r="F22" s="41"/>
      <c r="G22" s="36"/>
      <c r="H22" s="37"/>
      <c r="I22" s="38"/>
      <c r="J22" s="39" t="s">
        <v>58</v>
      </c>
      <c r="K22" s="3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</row>
    <row r="23" spans="1:257" ht="18.75" customHeight="1">
      <c r="A23" s="30"/>
      <c r="B23" s="45" t="s">
        <v>69</v>
      </c>
      <c r="C23" s="32" t="s">
        <v>22</v>
      </c>
      <c r="D23" s="33"/>
      <c r="E23" s="34"/>
      <c r="F23" s="35"/>
      <c r="G23" s="36"/>
      <c r="H23" s="37"/>
      <c r="I23" s="38"/>
      <c r="J23" s="39" t="s">
        <v>59</v>
      </c>
      <c r="K23" s="3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T23" s="29"/>
      <c r="GU23" s="29"/>
      <c r="GV23" s="29"/>
      <c r="GW23" s="29"/>
      <c r="GX23" s="29"/>
      <c r="GY23" s="29"/>
      <c r="GZ23" s="29"/>
      <c r="HA23" s="29"/>
      <c r="HB23" s="29"/>
      <c r="HC23" s="29"/>
      <c r="HD23" s="29"/>
      <c r="HE23" s="29"/>
      <c r="HF23" s="29"/>
      <c r="HG23" s="29"/>
      <c r="HH23" s="29"/>
      <c r="HI23" s="29"/>
      <c r="HJ23" s="29"/>
      <c r="HK23" s="29"/>
      <c r="HL23" s="2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</row>
    <row r="24" spans="1:257" ht="18.75" customHeight="1">
      <c r="A24" s="30"/>
      <c r="B24" s="48" t="s">
        <v>127</v>
      </c>
      <c r="C24" s="32" t="s">
        <v>79</v>
      </c>
      <c r="D24" s="33"/>
      <c r="E24" s="34"/>
      <c r="F24" s="35" t="s">
        <v>5</v>
      </c>
      <c r="G24" s="36">
        <f>D24*E24</f>
        <v>0</v>
      </c>
      <c r="H24" s="37" t="s">
        <v>60</v>
      </c>
      <c r="I24" s="38"/>
      <c r="J24" s="39"/>
      <c r="K24" s="3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</row>
    <row r="25" spans="1:257" ht="18.75" customHeight="1">
      <c r="A25" s="30"/>
      <c r="B25" s="39" t="s">
        <v>147</v>
      </c>
      <c r="C25" s="32" t="s">
        <v>21</v>
      </c>
      <c r="D25" s="33"/>
      <c r="E25" s="34"/>
      <c r="F25" s="35"/>
      <c r="G25" s="36"/>
      <c r="H25" s="37"/>
      <c r="I25" s="38"/>
      <c r="J25" s="39"/>
      <c r="K25" s="3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</row>
    <row r="26" spans="1:257" ht="18.75" customHeight="1">
      <c r="A26" s="30"/>
      <c r="B26" s="39"/>
      <c r="C26" s="32" t="s">
        <v>22</v>
      </c>
      <c r="D26" s="33"/>
      <c r="E26" s="34"/>
      <c r="F26" s="41"/>
      <c r="G26" s="36"/>
      <c r="H26" s="37"/>
      <c r="I26" s="38"/>
      <c r="J26" s="39"/>
      <c r="K26" s="3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</row>
    <row r="27" spans="1:257" ht="18.75" customHeight="1">
      <c r="A27" s="30"/>
      <c r="B27" s="54" t="s">
        <v>62</v>
      </c>
      <c r="C27" s="32" t="s">
        <v>80</v>
      </c>
      <c r="D27" s="33"/>
      <c r="E27" s="34"/>
      <c r="F27" s="35" t="s">
        <v>5</v>
      </c>
      <c r="G27" s="36">
        <f>D27*E27</f>
        <v>0</v>
      </c>
      <c r="H27" s="37" t="s">
        <v>60</v>
      </c>
      <c r="I27" s="38"/>
      <c r="J27" s="39"/>
      <c r="K27" s="3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  <c r="HJ27" s="29"/>
      <c r="HK27" s="29"/>
      <c r="HL27" s="2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</row>
    <row r="28" spans="1:257" ht="18.75" customHeight="1">
      <c r="A28" s="30"/>
      <c r="B28" s="55" t="s">
        <v>123</v>
      </c>
      <c r="C28" s="32" t="s">
        <v>21</v>
      </c>
      <c r="D28" s="33"/>
      <c r="E28" s="34"/>
      <c r="F28" s="41"/>
      <c r="G28" s="36"/>
      <c r="H28" s="37"/>
      <c r="I28" s="38"/>
      <c r="J28" s="39"/>
      <c r="K28" s="3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</row>
    <row r="29" spans="1:257" ht="18.75" customHeight="1">
      <c r="A29" s="30"/>
      <c r="B29" s="55" t="s">
        <v>124</v>
      </c>
      <c r="C29" s="32" t="s">
        <v>22</v>
      </c>
      <c r="D29" s="33"/>
      <c r="E29" s="34"/>
      <c r="F29" s="41"/>
      <c r="G29" s="36"/>
      <c r="H29" s="37"/>
      <c r="I29" s="38"/>
      <c r="J29" s="39"/>
      <c r="K29" s="3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</row>
    <row r="30" spans="1:257" ht="18.75" customHeight="1">
      <c r="A30" s="30"/>
      <c r="B30" s="55" t="s">
        <v>125</v>
      </c>
      <c r="C30" s="56" t="s">
        <v>81</v>
      </c>
      <c r="D30" s="33"/>
      <c r="E30" s="34"/>
      <c r="F30" s="35" t="s">
        <v>5</v>
      </c>
      <c r="G30" s="36">
        <f>D30*E30</f>
        <v>0</v>
      </c>
      <c r="H30" s="37" t="s">
        <v>60</v>
      </c>
      <c r="I30" s="38"/>
      <c r="J30" s="39"/>
      <c r="K30" s="3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</row>
    <row r="31" spans="1:257" ht="18.75" customHeight="1">
      <c r="A31" s="30"/>
      <c r="B31" s="55" t="s">
        <v>126</v>
      </c>
      <c r="C31" s="32" t="s">
        <v>22</v>
      </c>
      <c r="D31" s="33"/>
      <c r="E31" s="34"/>
      <c r="F31" s="41"/>
      <c r="G31" s="36"/>
      <c r="H31" s="37"/>
      <c r="I31" s="38"/>
      <c r="J31" s="39"/>
      <c r="K31" s="3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</row>
    <row r="32" spans="1:257" ht="18.75" customHeight="1">
      <c r="A32" s="30"/>
      <c r="B32" s="39"/>
      <c r="C32" s="44" t="s">
        <v>82</v>
      </c>
      <c r="D32" s="33"/>
      <c r="E32" s="34"/>
      <c r="F32" s="41"/>
      <c r="G32" s="36"/>
      <c r="H32" s="37"/>
      <c r="I32" s="38"/>
      <c r="J32" s="39"/>
      <c r="K32" s="3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</row>
    <row r="33" spans="1:257" ht="18.75" customHeight="1">
      <c r="A33" s="30"/>
      <c r="B33" s="39"/>
      <c r="C33" s="56" t="s">
        <v>83</v>
      </c>
      <c r="D33" s="33"/>
      <c r="E33" s="34"/>
      <c r="F33" s="41"/>
      <c r="G33" s="36"/>
      <c r="H33" s="37"/>
      <c r="I33" s="38"/>
      <c r="J33" s="39"/>
      <c r="K33" s="3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</row>
    <row r="34" spans="1:257" ht="18.75" customHeight="1">
      <c r="A34" s="30"/>
      <c r="B34" s="39"/>
      <c r="C34" s="56" t="s">
        <v>23</v>
      </c>
      <c r="D34" s="33"/>
      <c r="E34" s="34"/>
      <c r="F34" s="41"/>
      <c r="G34" s="36"/>
      <c r="H34" s="37"/>
      <c r="I34" s="38"/>
      <c r="J34" s="39"/>
      <c r="K34" s="3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/>
      <c r="IM34" s="29"/>
      <c r="IN34" s="29"/>
      <c r="IO34" s="29"/>
      <c r="IP34" s="29"/>
      <c r="IQ34" s="29"/>
      <c r="IR34" s="29"/>
      <c r="IS34" s="29"/>
      <c r="IT34" s="29"/>
      <c r="IU34" s="29"/>
      <c r="IV34" s="29"/>
      <c r="IW34" s="29"/>
    </row>
    <row r="35" spans="1:257" ht="18.75" customHeight="1">
      <c r="A35" s="30"/>
      <c r="B35" s="57"/>
      <c r="C35" s="56" t="s">
        <v>84</v>
      </c>
      <c r="D35" s="33"/>
      <c r="E35" s="34"/>
      <c r="F35" s="41" t="s">
        <v>9</v>
      </c>
      <c r="G35" s="36">
        <f>D35*E35</f>
        <v>0</v>
      </c>
      <c r="H35" s="37" t="s">
        <v>60</v>
      </c>
      <c r="I35" s="38"/>
      <c r="J35" s="39"/>
      <c r="K35" s="3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/>
      <c r="IM35" s="29"/>
      <c r="IN35" s="29"/>
      <c r="IO35" s="29"/>
      <c r="IP35" s="29"/>
      <c r="IQ35" s="29"/>
      <c r="IR35" s="29"/>
      <c r="IS35" s="29"/>
      <c r="IT35" s="29"/>
      <c r="IU35" s="29"/>
      <c r="IV35" s="29"/>
      <c r="IW35" s="29"/>
    </row>
    <row r="36" spans="1:257" ht="18.75" customHeight="1">
      <c r="A36" s="30"/>
      <c r="B36" s="39"/>
      <c r="C36" s="56" t="s">
        <v>24</v>
      </c>
      <c r="D36" s="33"/>
      <c r="E36" s="34"/>
      <c r="F36" s="41"/>
      <c r="G36" s="36"/>
      <c r="H36" s="37"/>
      <c r="I36" s="38"/>
      <c r="J36" s="39"/>
      <c r="K36" s="3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T36" s="29"/>
      <c r="GU36" s="29"/>
      <c r="GV36" s="29"/>
      <c r="GW36" s="29"/>
      <c r="GX36" s="29"/>
      <c r="GY36" s="29"/>
      <c r="GZ36" s="29"/>
      <c r="HA36" s="29"/>
      <c r="HB36" s="29"/>
      <c r="HC36" s="29"/>
      <c r="HD36" s="29"/>
      <c r="HE36" s="29"/>
      <c r="HF36" s="29"/>
      <c r="HG36" s="29"/>
      <c r="HH36" s="29"/>
      <c r="HI36" s="29"/>
      <c r="HJ36" s="29"/>
      <c r="HK36" s="29"/>
      <c r="HL36" s="2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/>
      <c r="IM36" s="29"/>
      <c r="IN36" s="29"/>
      <c r="IO36" s="29"/>
      <c r="IP36" s="29"/>
      <c r="IQ36" s="29"/>
      <c r="IR36" s="29"/>
      <c r="IS36" s="29"/>
      <c r="IT36" s="29"/>
      <c r="IU36" s="29"/>
      <c r="IV36" s="29"/>
      <c r="IW36" s="29"/>
    </row>
    <row r="37" spans="1:257" ht="18.75" customHeight="1">
      <c r="A37" s="30"/>
      <c r="B37" s="39"/>
      <c r="C37" s="56" t="s">
        <v>85</v>
      </c>
      <c r="D37" s="33"/>
      <c r="E37" s="34"/>
      <c r="F37" s="41" t="s">
        <v>10</v>
      </c>
      <c r="G37" s="36">
        <f>D37*E37</f>
        <v>0</v>
      </c>
      <c r="H37" s="37" t="s">
        <v>60</v>
      </c>
      <c r="I37" s="38"/>
      <c r="J37" s="39"/>
      <c r="K37" s="3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/>
      <c r="IM37" s="29"/>
      <c r="IN37" s="29"/>
      <c r="IO37" s="29"/>
      <c r="IP37" s="29"/>
      <c r="IQ37" s="29"/>
      <c r="IR37" s="29"/>
      <c r="IS37" s="29"/>
      <c r="IT37" s="29"/>
      <c r="IU37" s="29"/>
      <c r="IV37" s="29"/>
      <c r="IW37" s="29"/>
    </row>
    <row r="38" spans="1:257" ht="18.75" customHeight="1">
      <c r="A38" s="30"/>
      <c r="B38" s="39"/>
      <c r="C38" s="56" t="s">
        <v>25</v>
      </c>
      <c r="D38" s="33"/>
      <c r="E38" s="34"/>
      <c r="F38" s="41"/>
      <c r="G38" s="36"/>
      <c r="H38" s="37"/>
      <c r="I38" s="38"/>
      <c r="J38" s="39"/>
      <c r="K38" s="3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  <c r="HJ38" s="29"/>
      <c r="HK38" s="29"/>
      <c r="HL38" s="2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/>
      <c r="IM38" s="29"/>
      <c r="IN38" s="29"/>
      <c r="IO38" s="29"/>
      <c r="IP38" s="29"/>
      <c r="IQ38" s="29"/>
      <c r="IR38" s="29"/>
      <c r="IS38" s="29"/>
      <c r="IT38" s="29"/>
      <c r="IU38" s="29"/>
      <c r="IV38" s="29"/>
      <c r="IW38" s="29"/>
    </row>
    <row r="39" spans="1:257" ht="18.75" customHeight="1">
      <c r="A39" s="30"/>
      <c r="B39" s="39"/>
      <c r="C39" s="56" t="s">
        <v>86</v>
      </c>
      <c r="D39" s="33"/>
      <c r="E39" s="34"/>
      <c r="F39" s="41" t="s">
        <v>10</v>
      </c>
      <c r="G39" s="36">
        <f>D39*E39</f>
        <v>0</v>
      </c>
      <c r="H39" s="37" t="s">
        <v>60</v>
      </c>
      <c r="I39" s="38"/>
      <c r="J39" s="39"/>
      <c r="K39" s="3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T39" s="29"/>
      <c r="GU39" s="29"/>
      <c r="GV39" s="29"/>
      <c r="GW39" s="29"/>
      <c r="GX39" s="29"/>
      <c r="GY39" s="29"/>
      <c r="GZ39" s="29"/>
      <c r="HA39" s="29"/>
      <c r="HB39" s="29"/>
      <c r="HC39" s="29"/>
      <c r="HD39" s="29"/>
      <c r="HE39" s="29"/>
      <c r="HF39" s="29"/>
      <c r="HG39" s="29"/>
      <c r="HH39" s="29"/>
      <c r="HI39" s="29"/>
      <c r="HJ39" s="29"/>
      <c r="HK39" s="29"/>
      <c r="HL39" s="2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/>
      <c r="IM39" s="29"/>
      <c r="IN39" s="29"/>
      <c r="IO39" s="29"/>
      <c r="IP39" s="29"/>
      <c r="IQ39" s="29"/>
      <c r="IR39" s="29"/>
      <c r="IS39" s="29"/>
      <c r="IT39" s="29"/>
      <c r="IU39" s="29"/>
      <c r="IV39" s="29"/>
      <c r="IW39" s="29"/>
    </row>
    <row r="40" spans="1:257" ht="18.75" customHeight="1">
      <c r="A40" s="30"/>
      <c r="B40" s="39"/>
      <c r="C40" s="56" t="s">
        <v>25</v>
      </c>
      <c r="D40" s="33"/>
      <c r="E40" s="34"/>
      <c r="F40" s="41"/>
      <c r="G40" s="36"/>
      <c r="H40" s="37"/>
      <c r="I40" s="38"/>
      <c r="J40" s="39"/>
      <c r="K40" s="3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/>
      <c r="IM40" s="29"/>
      <c r="IN40" s="29"/>
      <c r="IO40" s="29"/>
      <c r="IP40" s="29"/>
      <c r="IQ40" s="29"/>
      <c r="IR40" s="29"/>
      <c r="IS40" s="29"/>
      <c r="IT40" s="29"/>
      <c r="IU40" s="29"/>
      <c r="IV40" s="29"/>
      <c r="IW40" s="29"/>
    </row>
    <row r="41" spans="1:257" ht="18.75" customHeight="1">
      <c r="A41" s="30"/>
      <c r="B41" s="39"/>
      <c r="C41" s="56" t="s">
        <v>87</v>
      </c>
      <c r="D41" s="33"/>
      <c r="E41" s="34"/>
      <c r="F41" s="41" t="s">
        <v>4</v>
      </c>
      <c r="G41" s="36">
        <f>D41*E41</f>
        <v>0</v>
      </c>
      <c r="H41" s="37" t="s">
        <v>60</v>
      </c>
      <c r="I41" s="38"/>
      <c r="J41" s="39"/>
      <c r="K41" s="3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/>
      <c r="IM41" s="29"/>
      <c r="IN41" s="29"/>
      <c r="IO41" s="29"/>
      <c r="IP41" s="29"/>
      <c r="IQ41" s="29"/>
      <c r="IR41" s="29"/>
      <c r="IS41" s="29"/>
      <c r="IT41" s="29"/>
      <c r="IU41" s="29"/>
      <c r="IV41" s="29"/>
      <c r="IW41" s="29"/>
    </row>
    <row r="42" spans="1:257" ht="19.5" customHeight="1">
      <c r="A42" s="30"/>
      <c r="B42" s="39"/>
      <c r="C42" s="30"/>
      <c r="D42" s="58"/>
      <c r="E42" s="59"/>
      <c r="F42" s="43"/>
      <c r="G42" s="36"/>
      <c r="H42" s="37"/>
      <c r="I42" s="38"/>
      <c r="J42" s="39"/>
      <c r="K42" s="3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/>
      <c r="IU42" s="29"/>
      <c r="IV42" s="29"/>
      <c r="IW42" s="29"/>
    </row>
    <row r="43" spans="1:257" ht="19.5" customHeight="1">
      <c r="A43" s="30"/>
      <c r="B43" s="39"/>
      <c r="C43" s="43" t="s">
        <v>3</v>
      </c>
      <c r="D43" s="58"/>
      <c r="E43" s="59"/>
      <c r="F43" s="43"/>
      <c r="G43" s="60">
        <f>SUM(G8:G41)</f>
        <v>0</v>
      </c>
      <c r="H43" s="37"/>
      <c r="I43" s="38"/>
      <c r="J43" s="39"/>
      <c r="K43" s="3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T43" s="29"/>
      <c r="GU43" s="29"/>
      <c r="GV43" s="29"/>
      <c r="GW43" s="29"/>
      <c r="GX43" s="29"/>
      <c r="GY43" s="29"/>
      <c r="GZ43" s="29"/>
      <c r="HA43" s="29"/>
      <c r="HB43" s="29"/>
      <c r="HC43" s="29"/>
      <c r="HD43" s="29"/>
      <c r="HE43" s="29"/>
      <c r="HF43" s="29"/>
      <c r="HG43" s="29"/>
      <c r="HH43" s="29"/>
      <c r="HI43" s="29"/>
      <c r="HJ43" s="29"/>
      <c r="HK43" s="29"/>
      <c r="HL43" s="2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/>
      <c r="IM43" s="29"/>
      <c r="IN43" s="29"/>
      <c r="IO43" s="29"/>
      <c r="IP43" s="29"/>
      <c r="IQ43" s="29"/>
      <c r="IR43" s="29"/>
      <c r="IS43" s="29"/>
      <c r="IT43" s="29"/>
      <c r="IU43" s="29"/>
      <c r="IV43" s="29"/>
      <c r="IW43" s="29"/>
    </row>
    <row r="44" spans="1:257">
      <c r="A44" s="30"/>
      <c r="B44" s="39"/>
      <c r="C44" s="43" t="s">
        <v>122</v>
      </c>
      <c r="D44" s="58"/>
      <c r="E44" s="59"/>
      <c r="F44" s="43"/>
      <c r="G44" s="60">
        <v>0</v>
      </c>
      <c r="H44" s="37"/>
      <c r="I44" s="38"/>
      <c r="J44" s="39"/>
      <c r="K44" s="3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T44" s="29"/>
      <c r="GU44" s="29"/>
      <c r="GV44" s="29"/>
      <c r="GW44" s="29"/>
      <c r="GX44" s="29"/>
      <c r="GY44" s="29"/>
      <c r="GZ44" s="29"/>
      <c r="HA44" s="29"/>
      <c r="HB44" s="29"/>
      <c r="HC44" s="29"/>
      <c r="HD44" s="29"/>
      <c r="HE44" s="29"/>
      <c r="HF44" s="29"/>
      <c r="HG44" s="29"/>
      <c r="HH44" s="29"/>
      <c r="HI44" s="29"/>
      <c r="HJ44" s="29"/>
      <c r="HK44" s="29"/>
      <c r="HL44" s="2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/>
      <c r="IM44" s="29"/>
      <c r="IN44" s="29"/>
      <c r="IO44" s="29"/>
      <c r="IP44" s="29"/>
      <c r="IQ44" s="29"/>
      <c r="IR44" s="29"/>
      <c r="IS44" s="29"/>
      <c r="IT44" s="29"/>
      <c r="IU44" s="29"/>
      <c r="IV44" s="29"/>
      <c r="IW44" s="29"/>
    </row>
    <row r="45" spans="1:257" ht="19.5" customHeight="1" thickBot="1">
      <c r="A45" s="30"/>
      <c r="B45" s="39"/>
      <c r="C45" s="30" t="s">
        <v>11</v>
      </c>
      <c r="D45" s="58"/>
      <c r="E45" s="59"/>
      <c r="F45" s="43"/>
      <c r="G45" s="61">
        <f>G43-G44</f>
        <v>0</v>
      </c>
      <c r="H45" s="37"/>
      <c r="I45" s="38"/>
      <c r="J45" s="39"/>
      <c r="K45" s="3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</row>
    <row r="46" spans="1:257" ht="19.5" customHeight="1" thickTop="1">
      <c r="A46" s="62"/>
      <c r="B46" s="62"/>
      <c r="C46" s="62"/>
      <c r="D46" s="63"/>
      <c r="E46" s="64"/>
      <c r="F46" s="65"/>
      <c r="G46" s="66"/>
      <c r="H46" s="67"/>
      <c r="I46" s="68"/>
      <c r="J46" s="62"/>
      <c r="K46" s="62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</row>
    <row r="47" spans="1:257" ht="19.5" customHeight="1">
      <c r="A47" s="2"/>
      <c r="D47" s="69"/>
      <c r="E47" s="70"/>
      <c r="F47" s="71"/>
      <c r="G47" s="72"/>
      <c r="H47" s="73"/>
      <c r="I47" s="74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</row>
    <row r="48" spans="1:257" s="83" customFormat="1" ht="15.75">
      <c r="A48" s="75" t="s">
        <v>13</v>
      </c>
      <c r="B48" s="76"/>
      <c r="C48" s="77"/>
      <c r="D48" s="78"/>
      <c r="E48" s="78"/>
      <c r="F48" s="79"/>
      <c r="G48" s="80"/>
      <c r="H48" s="81"/>
      <c r="I48" s="82"/>
      <c r="J48" s="77"/>
      <c r="K48" s="77"/>
    </row>
    <row r="49" spans="1:11" s="83" customFormat="1" ht="15.75">
      <c r="A49" s="84"/>
      <c r="B49" s="76" t="s">
        <v>38</v>
      </c>
      <c r="C49" s="77"/>
      <c r="D49" s="78"/>
      <c r="E49" s="78"/>
      <c r="F49" s="79"/>
      <c r="G49" s="80"/>
      <c r="H49" s="81"/>
      <c r="I49" s="82"/>
      <c r="J49" s="77"/>
      <c r="K49" s="77"/>
    </row>
    <row r="50" spans="1:11" s="83" customFormat="1" ht="15.75">
      <c r="A50" s="85"/>
      <c r="B50" s="76" t="s">
        <v>72</v>
      </c>
      <c r="C50" s="77"/>
      <c r="D50" s="78"/>
      <c r="E50" s="78"/>
      <c r="F50" s="79"/>
      <c r="G50" s="80"/>
      <c r="H50" s="81"/>
      <c r="I50" s="82"/>
      <c r="J50" s="77"/>
      <c r="K50" s="77"/>
    </row>
    <row r="51" spans="1:11" s="83" customFormat="1" ht="15.75">
      <c r="A51" s="85"/>
      <c r="B51" s="76" t="s">
        <v>89</v>
      </c>
      <c r="C51" s="77"/>
      <c r="D51" s="78"/>
      <c r="E51" s="78"/>
      <c r="F51" s="79"/>
      <c r="G51" s="80"/>
      <c r="H51" s="81"/>
      <c r="I51" s="82"/>
      <c r="J51" s="77"/>
      <c r="K51" s="77"/>
    </row>
    <row r="52" spans="1:11" s="83" customFormat="1" ht="15.75">
      <c r="A52" s="85"/>
      <c r="B52" s="76" t="s">
        <v>90</v>
      </c>
      <c r="C52" s="77"/>
      <c r="D52" s="78"/>
      <c r="E52" s="78"/>
      <c r="F52" s="79"/>
      <c r="G52" s="80"/>
      <c r="H52" s="81"/>
      <c r="I52" s="82"/>
      <c r="J52" s="77"/>
      <c r="K52" s="77"/>
    </row>
    <row r="53" spans="1:11" s="83" customFormat="1" ht="15.75">
      <c r="A53" s="85"/>
      <c r="B53" s="76" t="s">
        <v>91</v>
      </c>
      <c r="C53" s="77"/>
      <c r="D53" s="78"/>
      <c r="E53" s="78"/>
      <c r="F53" s="79"/>
      <c r="G53" s="80"/>
      <c r="H53" s="81"/>
      <c r="I53" s="82"/>
      <c r="J53" s="77"/>
      <c r="K53" s="77"/>
    </row>
    <row r="54" spans="1:11" s="83" customFormat="1" ht="15.75">
      <c r="A54" s="85"/>
      <c r="B54" s="76" t="s">
        <v>92</v>
      </c>
      <c r="C54" s="77"/>
      <c r="D54" s="78"/>
      <c r="E54" s="78"/>
      <c r="F54" s="79"/>
      <c r="G54" s="80"/>
      <c r="H54" s="81"/>
      <c r="I54" s="82"/>
      <c r="J54" s="77"/>
      <c r="K54" s="77"/>
    </row>
    <row r="55" spans="1:11" s="83" customFormat="1" ht="15.75">
      <c r="A55" s="85"/>
      <c r="B55" s="76" t="s">
        <v>63</v>
      </c>
      <c r="C55" s="77"/>
      <c r="D55" s="78"/>
      <c r="E55" s="78"/>
      <c r="F55" s="79"/>
      <c r="G55" s="80"/>
      <c r="H55" s="81"/>
      <c r="I55" s="82"/>
      <c r="J55" s="77"/>
      <c r="K55" s="77"/>
    </row>
    <row r="56" spans="1:11" s="83" customFormat="1" ht="15.75">
      <c r="A56" s="85"/>
      <c r="B56" s="76" t="s">
        <v>64</v>
      </c>
      <c r="C56" s="77"/>
      <c r="D56" s="78"/>
      <c r="E56" s="78"/>
      <c r="F56" s="79"/>
      <c r="G56" s="80"/>
      <c r="H56" s="81"/>
      <c r="I56" s="82"/>
      <c r="J56" s="77"/>
      <c r="K56" s="77"/>
    </row>
    <row r="57" spans="1:11" s="83" customFormat="1" ht="15.75">
      <c r="A57" s="85"/>
      <c r="B57" s="76" t="s">
        <v>93</v>
      </c>
      <c r="C57" s="77"/>
      <c r="D57" s="78"/>
      <c r="E57" s="78"/>
      <c r="F57" s="79"/>
      <c r="G57" s="80"/>
      <c r="H57" s="81"/>
      <c r="I57" s="82"/>
      <c r="J57" s="77"/>
      <c r="K57" s="77"/>
    </row>
    <row r="58" spans="1:11">
      <c r="B58" s="87"/>
    </row>
  </sheetData>
  <mergeCells count="15">
    <mergeCell ref="J1:K1"/>
    <mergeCell ref="K6:K7"/>
    <mergeCell ref="A4:K4"/>
    <mergeCell ref="A2:K2"/>
    <mergeCell ref="J6:J7"/>
    <mergeCell ref="A6:A7"/>
    <mergeCell ref="B6:B7"/>
    <mergeCell ref="C6:C7"/>
    <mergeCell ref="E6:E7"/>
    <mergeCell ref="F6:F7"/>
    <mergeCell ref="G6:G7"/>
    <mergeCell ref="A3:K3"/>
    <mergeCell ref="H7:I7"/>
    <mergeCell ref="H6:I6"/>
    <mergeCell ref="D6:D7"/>
  </mergeCells>
  <printOptions horizontalCentered="1"/>
  <pageMargins left="0.39370078740157483" right="0.19685039370078741" top="0.39370078740157483" bottom="0.59055118110236227" header="0" footer="0"/>
  <pageSetup paperSize="9" scale="75" fitToHeight="0" orientation="landscape" r:id="rId1"/>
  <headerFooter alignWithMargins="0">
    <oddFooter>&amp;R&amp;"TH Sarabun New,Italic"&amp;14&amp;K09-023(ฉบับเดือน พฤษภาคม 2568)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9E33-AD98-440A-8495-9E634B3E075B}">
  <sheetPr>
    <pageSetUpPr fitToPage="1"/>
  </sheetPr>
  <dimension ref="A1:K27"/>
  <sheetViews>
    <sheetView zoomScale="115" zoomScaleNormal="115" zoomScaleSheetLayoutView="100" workbookViewId="0">
      <selection activeCell="F10" sqref="F10"/>
    </sheetView>
  </sheetViews>
  <sheetFormatPr defaultColWidth="9.140625" defaultRowHeight="18.75"/>
  <cols>
    <col min="1" max="1" width="6.140625" style="88" customWidth="1"/>
    <col min="2" max="2" width="32" style="89" customWidth="1"/>
    <col min="3" max="3" width="14.140625" style="90" customWidth="1"/>
    <col min="4" max="4" width="13.5703125" style="91" customWidth="1"/>
    <col min="5" max="5" width="20.85546875" style="92" customWidth="1"/>
    <col min="6" max="6" width="14.28515625" style="90" customWidth="1"/>
    <col min="7" max="7" width="13.5703125" style="91" customWidth="1"/>
    <col min="8" max="8" width="20.85546875" style="92" customWidth="1"/>
    <col min="9" max="9" width="13.7109375" style="90" customWidth="1"/>
    <col min="10" max="10" width="13.5703125" style="91" customWidth="1"/>
    <col min="11" max="11" width="20.85546875" style="92" customWidth="1"/>
    <col min="12" max="16384" width="9.140625" style="93"/>
  </cols>
  <sheetData>
    <row r="1" spans="1:11">
      <c r="K1" s="8" t="s">
        <v>118</v>
      </c>
    </row>
    <row r="2" spans="1:11" ht="24" customHeight="1">
      <c r="A2" s="183" t="s">
        <v>112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</row>
    <row r="3" spans="1:11" ht="24" customHeight="1">
      <c r="A3" s="183" t="s">
        <v>160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</row>
    <row r="4" spans="1:11">
      <c r="A4" s="94"/>
      <c r="B4" s="95"/>
      <c r="C4" s="95"/>
      <c r="D4" s="96"/>
      <c r="E4" s="95"/>
      <c r="F4" s="95"/>
      <c r="G4" s="96"/>
      <c r="H4" s="95"/>
      <c r="I4" s="95"/>
      <c r="J4" s="96"/>
      <c r="K4" s="95"/>
    </row>
    <row r="5" spans="1:11" s="98" customFormat="1">
      <c r="A5" s="184" t="s">
        <v>101</v>
      </c>
      <c r="B5" s="186" t="s">
        <v>26</v>
      </c>
      <c r="C5" s="187" t="s">
        <v>155</v>
      </c>
      <c r="D5" s="187"/>
      <c r="E5" s="187"/>
      <c r="F5" s="187" t="s">
        <v>156</v>
      </c>
      <c r="G5" s="187"/>
      <c r="H5" s="187"/>
      <c r="I5" s="187" t="s">
        <v>157</v>
      </c>
      <c r="J5" s="187"/>
      <c r="K5" s="187"/>
    </row>
    <row r="6" spans="1:11" s="98" customFormat="1" ht="56.25">
      <c r="A6" s="185"/>
      <c r="B6" s="186"/>
      <c r="C6" s="97" t="s">
        <v>31</v>
      </c>
      <c r="D6" s="99" t="s">
        <v>148</v>
      </c>
      <c r="E6" s="97" t="s">
        <v>30</v>
      </c>
      <c r="F6" s="97" t="s">
        <v>31</v>
      </c>
      <c r="G6" s="99" t="s">
        <v>148</v>
      </c>
      <c r="H6" s="97" t="s">
        <v>30</v>
      </c>
      <c r="I6" s="97" t="s">
        <v>31</v>
      </c>
      <c r="J6" s="99" t="s">
        <v>148</v>
      </c>
      <c r="K6" s="97" t="s">
        <v>30</v>
      </c>
    </row>
    <row r="7" spans="1:11">
      <c r="A7" s="100">
        <v>1</v>
      </c>
      <c r="B7" s="101" t="s">
        <v>95</v>
      </c>
      <c r="C7" s="102"/>
      <c r="D7" s="103"/>
      <c r="E7" s="104"/>
      <c r="F7" s="102"/>
      <c r="G7" s="103"/>
      <c r="H7" s="104"/>
      <c r="I7" s="102"/>
      <c r="J7" s="103"/>
      <c r="K7" s="104"/>
    </row>
    <row r="8" spans="1:11">
      <c r="A8" s="105">
        <v>1.1000000000000001</v>
      </c>
      <c r="B8" s="106" t="s">
        <v>29</v>
      </c>
      <c r="C8" s="102"/>
      <c r="D8" s="107"/>
      <c r="E8" s="104"/>
      <c r="F8" s="102"/>
      <c r="G8" s="103"/>
      <c r="H8" s="104"/>
      <c r="I8" s="102"/>
      <c r="J8" s="103"/>
      <c r="K8" s="104"/>
    </row>
    <row r="9" spans="1:11">
      <c r="A9" s="105">
        <v>1.2</v>
      </c>
      <c r="B9" s="106" t="s">
        <v>29</v>
      </c>
      <c r="C9" s="102"/>
      <c r="D9" s="103"/>
      <c r="E9" s="104"/>
      <c r="F9" s="102"/>
      <c r="G9" s="103"/>
      <c r="H9" s="104"/>
      <c r="I9" s="102"/>
      <c r="J9" s="103"/>
      <c r="K9" s="104"/>
    </row>
    <row r="10" spans="1:11" ht="37.5">
      <c r="A10" s="100">
        <v>2</v>
      </c>
      <c r="B10" s="101" t="s">
        <v>96</v>
      </c>
      <c r="C10" s="102"/>
      <c r="D10" s="107"/>
      <c r="E10" s="104"/>
      <c r="F10" s="102"/>
      <c r="G10" s="103"/>
      <c r="H10" s="104"/>
      <c r="I10" s="102"/>
      <c r="J10" s="103"/>
      <c r="K10" s="104"/>
    </row>
    <row r="11" spans="1:11">
      <c r="A11" s="105">
        <v>2.1</v>
      </c>
      <c r="B11" s="106" t="s">
        <v>29</v>
      </c>
      <c r="C11" s="102"/>
      <c r="D11" s="103"/>
      <c r="E11" s="104"/>
      <c r="F11" s="102"/>
      <c r="G11" s="103"/>
      <c r="H11" s="104"/>
      <c r="I11" s="102"/>
      <c r="J11" s="103"/>
      <c r="K11" s="104"/>
    </row>
    <row r="12" spans="1:11">
      <c r="A12" s="105">
        <v>2.2000000000000002</v>
      </c>
      <c r="B12" s="106" t="s">
        <v>29</v>
      </c>
      <c r="C12" s="102"/>
      <c r="D12" s="103"/>
      <c r="E12" s="104"/>
      <c r="F12" s="102"/>
      <c r="G12" s="103"/>
      <c r="H12" s="104"/>
      <c r="I12" s="102"/>
      <c r="J12" s="103"/>
      <c r="K12" s="104"/>
    </row>
    <row r="13" spans="1:11" ht="37.5">
      <c r="A13" s="100">
        <v>3</v>
      </c>
      <c r="B13" s="101" t="s">
        <v>100</v>
      </c>
      <c r="C13" s="102"/>
      <c r="D13" s="103"/>
      <c r="E13" s="104"/>
      <c r="F13" s="102"/>
      <c r="G13" s="103"/>
      <c r="H13" s="104"/>
      <c r="I13" s="102"/>
      <c r="J13" s="103"/>
      <c r="K13" s="104"/>
    </row>
    <row r="14" spans="1:11">
      <c r="A14" s="105">
        <v>3.1</v>
      </c>
      <c r="B14" s="106" t="s">
        <v>29</v>
      </c>
      <c r="C14" s="102"/>
      <c r="D14" s="103"/>
      <c r="E14" s="104"/>
      <c r="F14" s="102"/>
      <c r="G14" s="103"/>
      <c r="H14" s="104"/>
      <c r="I14" s="102"/>
      <c r="J14" s="103"/>
      <c r="K14" s="104"/>
    </row>
    <row r="15" spans="1:11">
      <c r="A15" s="105">
        <v>3.2</v>
      </c>
      <c r="B15" s="106" t="s">
        <v>29</v>
      </c>
      <c r="C15" s="102"/>
      <c r="D15" s="103"/>
      <c r="E15" s="104"/>
      <c r="F15" s="102"/>
      <c r="G15" s="103"/>
      <c r="H15" s="104"/>
      <c r="I15" s="102"/>
      <c r="J15" s="103"/>
      <c r="K15" s="104"/>
    </row>
    <row r="16" spans="1:11">
      <c r="A16" s="105"/>
      <c r="B16" s="106"/>
      <c r="C16" s="102"/>
      <c r="D16" s="103"/>
      <c r="E16" s="104"/>
      <c r="F16" s="102"/>
      <c r="G16" s="103"/>
      <c r="H16" s="104"/>
      <c r="I16" s="102"/>
      <c r="J16" s="103"/>
      <c r="K16" s="104"/>
    </row>
    <row r="17" spans="1:11">
      <c r="A17" s="105"/>
      <c r="B17" s="106"/>
      <c r="C17" s="102"/>
      <c r="D17" s="103"/>
      <c r="E17" s="104"/>
      <c r="F17" s="108"/>
      <c r="G17" s="103"/>
      <c r="H17" s="104"/>
      <c r="I17" s="102"/>
      <c r="J17" s="103"/>
      <c r="K17" s="104"/>
    </row>
    <row r="18" spans="1:11" s="114" customFormat="1">
      <c r="A18" s="109"/>
      <c r="B18" s="110"/>
      <c r="C18" s="111"/>
      <c r="D18" s="112"/>
      <c r="E18" s="113"/>
      <c r="F18" s="111"/>
      <c r="G18" s="112"/>
      <c r="H18" s="113"/>
      <c r="I18" s="111"/>
      <c r="J18" s="112"/>
      <c r="K18" s="113"/>
    </row>
    <row r="19" spans="1:11">
      <c r="A19" s="105"/>
      <c r="B19" s="106"/>
      <c r="C19" s="102"/>
      <c r="D19" s="103"/>
      <c r="E19" s="104"/>
      <c r="F19" s="102"/>
      <c r="G19" s="103"/>
      <c r="H19" s="104"/>
      <c r="I19" s="102"/>
      <c r="J19" s="103"/>
      <c r="K19" s="104"/>
    </row>
    <row r="20" spans="1:11">
      <c r="A20" s="105"/>
      <c r="B20" s="106"/>
      <c r="C20" s="102"/>
      <c r="D20" s="103"/>
      <c r="E20" s="104"/>
      <c r="F20" s="102"/>
      <c r="G20" s="103"/>
      <c r="H20" s="104"/>
      <c r="I20" s="102"/>
      <c r="J20" s="103"/>
      <c r="K20" s="104"/>
    </row>
    <row r="21" spans="1:11">
      <c r="A21" s="115"/>
      <c r="B21" s="116"/>
      <c r="D21" s="117"/>
      <c r="E21" s="118"/>
      <c r="G21" s="117"/>
      <c r="H21" s="118"/>
      <c r="J21" s="117"/>
      <c r="K21" s="118"/>
    </row>
    <row r="22" spans="1:11" s="124" customFormat="1" ht="15.75">
      <c r="A22" s="119" t="s">
        <v>13</v>
      </c>
      <c r="B22" s="120"/>
      <c r="C22" s="121"/>
      <c r="D22" s="122"/>
      <c r="E22" s="123"/>
      <c r="F22" s="121"/>
      <c r="G22" s="122"/>
      <c r="H22" s="123"/>
      <c r="I22" s="121"/>
      <c r="J22" s="122"/>
      <c r="K22" s="123"/>
    </row>
    <row r="23" spans="1:11" s="131" customFormat="1" ht="15.75">
      <c r="A23" s="125"/>
      <c r="B23" s="120" t="s">
        <v>36</v>
      </c>
      <c r="C23" s="126"/>
      <c r="D23" s="127"/>
      <c r="E23" s="128"/>
      <c r="F23" s="129"/>
      <c r="G23" s="130"/>
      <c r="H23" s="128"/>
      <c r="I23" s="129"/>
      <c r="J23" s="130"/>
      <c r="K23" s="128"/>
    </row>
    <row r="24" spans="1:11" s="131" customFormat="1" ht="15.75">
      <c r="A24" s="125"/>
      <c r="B24" s="120" t="s">
        <v>97</v>
      </c>
      <c r="C24" s="126"/>
      <c r="D24" s="127"/>
      <c r="E24" s="128"/>
      <c r="F24" s="129"/>
      <c r="G24" s="130"/>
      <c r="H24" s="128"/>
      <c r="I24" s="129"/>
      <c r="J24" s="130"/>
      <c r="K24" s="128"/>
    </row>
    <row r="25" spans="1:11" s="124" customFormat="1" ht="15.75">
      <c r="A25" s="132"/>
      <c r="B25" s="120" t="s">
        <v>98</v>
      </c>
      <c r="C25" s="121"/>
      <c r="D25" s="133"/>
      <c r="E25" s="123"/>
      <c r="F25" s="121"/>
      <c r="G25" s="122"/>
      <c r="H25" s="123"/>
      <c r="I25" s="121"/>
      <c r="J25" s="122"/>
      <c r="K25" s="123"/>
    </row>
    <row r="26" spans="1:11" s="124" customFormat="1" ht="15.75">
      <c r="A26" s="132"/>
      <c r="B26" s="120" t="s">
        <v>99</v>
      </c>
      <c r="C26" s="121"/>
      <c r="D26" s="133"/>
      <c r="E26" s="123"/>
      <c r="F26" s="121"/>
      <c r="G26" s="122"/>
      <c r="H26" s="123"/>
      <c r="I26" s="121"/>
      <c r="J26" s="122"/>
      <c r="K26" s="123"/>
    </row>
    <row r="27" spans="1:11">
      <c r="D27" s="134"/>
    </row>
  </sheetData>
  <mergeCells count="7">
    <mergeCell ref="A2:K2"/>
    <mergeCell ref="A3:K3"/>
    <mergeCell ref="A5:A6"/>
    <mergeCell ref="B5:B6"/>
    <mergeCell ref="C5:E5"/>
    <mergeCell ref="F5:H5"/>
    <mergeCell ref="I5:K5"/>
  </mergeCells>
  <printOptions horizontalCentered="1"/>
  <pageMargins left="0.39370078740157483" right="0.39370078740157483" top="0.39370078740157483" bottom="0.39370078740157483" header="0" footer="0"/>
  <pageSetup paperSize="9" scale="77" fitToHeight="0" orientation="landscape" r:id="rId1"/>
  <headerFooter alignWithMargins="0">
    <oddFooter>&amp;R&amp;"TH Sarabun New,Italic"&amp;14&amp;K09-024(ฉบับเดือน พฤษภาคม 2568)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F909-3B9A-444D-A968-004098465D78}">
  <sheetPr>
    <pageSetUpPr fitToPage="1"/>
  </sheetPr>
  <dimension ref="A1:P21"/>
  <sheetViews>
    <sheetView view="pageLayout" zoomScaleNormal="100" zoomScaleSheetLayoutView="100" workbookViewId="0">
      <selection activeCell="B9" sqref="B9"/>
    </sheetView>
  </sheetViews>
  <sheetFormatPr defaultColWidth="9.140625" defaultRowHeight="18.75"/>
  <cols>
    <col min="1" max="1" width="5.7109375" style="135" customWidth="1"/>
    <col min="2" max="2" width="31.42578125" style="136" customWidth="1"/>
    <col min="3" max="4" width="11.42578125" style="137" customWidth="1"/>
    <col min="5" max="7" width="11.42578125" style="138" customWidth="1"/>
    <col min="8" max="8" width="46.42578125" style="136" customWidth="1"/>
    <col min="9" max="15" width="6.42578125" style="137" customWidth="1"/>
    <col min="16" max="16384" width="9.140625" style="136"/>
  </cols>
  <sheetData>
    <row r="1" spans="1:15">
      <c r="L1" s="201" t="s">
        <v>117</v>
      </c>
      <c r="M1" s="201"/>
      <c r="N1" s="201"/>
      <c r="O1" s="201"/>
    </row>
    <row r="2" spans="1:15" ht="21">
      <c r="A2" s="203" t="s">
        <v>114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</row>
    <row r="3" spans="1:15" ht="21">
      <c r="A3" s="203" t="s">
        <v>27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</row>
    <row r="4" spans="1:15">
      <c r="A4" s="139"/>
      <c r="B4" s="140"/>
      <c r="C4" s="141"/>
      <c r="D4" s="141"/>
      <c r="E4" s="142"/>
      <c r="F4" s="142"/>
      <c r="G4" s="142"/>
      <c r="H4" s="140"/>
    </row>
    <row r="5" spans="1:15">
      <c r="A5" s="208" t="s">
        <v>101</v>
      </c>
      <c r="B5" s="204" t="s">
        <v>32</v>
      </c>
      <c r="C5" s="206" t="s">
        <v>102</v>
      </c>
      <c r="D5" s="143" t="s">
        <v>106</v>
      </c>
      <c r="E5" s="144" t="s">
        <v>1</v>
      </c>
      <c r="F5" s="144" t="s">
        <v>103</v>
      </c>
      <c r="G5" s="210" t="s">
        <v>5</v>
      </c>
      <c r="H5" s="204" t="s">
        <v>28</v>
      </c>
      <c r="I5" s="202" t="s">
        <v>33</v>
      </c>
      <c r="J5" s="202"/>
      <c r="K5" s="202"/>
      <c r="L5" s="202"/>
      <c r="M5" s="202"/>
      <c r="N5" s="202"/>
      <c r="O5" s="202"/>
    </row>
    <row r="6" spans="1:15">
      <c r="A6" s="209"/>
      <c r="B6" s="205"/>
      <c r="C6" s="207"/>
      <c r="D6" s="146" t="s">
        <v>107</v>
      </c>
      <c r="E6" s="147" t="s">
        <v>105</v>
      </c>
      <c r="F6" s="147" t="s">
        <v>104</v>
      </c>
      <c r="G6" s="211"/>
      <c r="H6" s="205"/>
      <c r="I6" s="145">
        <v>1</v>
      </c>
      <c r="J6" s="145">
        <v>2</v>
      </c>
      <c r="K6" s="145">
        <v>3</v>
      </c>
      <c r="L6" s="145">
        <v>4</v>
      </c>
      <c r="M6" s="145">
        <v>5</v>
      </c>
      <c r="N6" s="145" t="s">
        <v>35</v>
      </c>
      <c r="O6" s="145" t="s">
        <v>34</v>
      </c>
    </row>
    <row r="7" spans="1:15">
      <c r="A7" s="148" t="s">
        <v>110</v>
      </c>
      <c r="B7" s="149" t="s">
        <v>39</v>
      </c>
      <c r="C7" s="150"/>
      <c r="D7" s="150"/>
      <c r="E7" s="151"/>
      <c r="F7" s="151"/>
      <c r="G7" s="151"/>
      <c r="H7" s="152"/>
      <c r="I7" s="150"/>
      <c r="J7" s="150"/>
      <c r="K7" s="150"/>
      <c r="L7" s="150"/>
      <c r="M7" s="150"/>
      <c r="N7" s="150"/>
      <c r="O7" s="150"/>
    </row>
    <row r="8" spans="1:15">
      <c r="A8" s="148" t="s">
        <v>111</v>
      </c>
      <c r="B8" s="152" t="s">
        <v>109</v>
      </c>
      <c r="C8" s="150"/>
      <c r="D8" s="150"/>
      <c r="E8" s="151"/>
      <c r="F8" s="151"/>
      <c r="G8" s="151">
        <f>E8*F8</f>
        <v>0</v>
      </c>
      <c r="H8" s="152"/>
      <c r="I8" s="150" t="s">
        <v>108</v>
      </c>
      <c r="J8" s="150" t="s">
        <v>108</v>
      </c>
      <c r="K8" s="150" t="s">
        <v>108</v>
      </c>
      <c r="L8" s="150"/>
      <c r="M8" s="150"/>
      <c r="N8" s="150"/>
      <c r="O8" s="150"/>
    </row>
    <row r="9" spans="1:15">
      <c r="A9" s="148"/>
      <c r="B9" s="152"/>
      <c r="C9" s="150"/>
      <c r="D9" s="150"/>
      <c r="E9" s="151"/>
      <c r="F9" s="151"/>
      <c r="G9" s="151">
        <f>E9*F9</f>
        <v>0</v>
      </c>
      <c r="H9" s="152"/>
      <c r="I9" s="150"/>
      <c r="J9" s="150"/>
      <c r="K9" s="150"/>
      <c r="L9" s="150"/>
      <c r="M9" s="150"/>
      <c r="N9" s="150"/>
      <c r="O9" s="150"/>
    </row>
    <row r="10" spans="1:15">
      <c r="A10" s="148"/>
      <c r="B10" s="149" t="s">
        <v>41</v>
      </c>
      <c r="C10" s="150"/>
      <c r="D10" s="150"/>
      <c r="E10" s="151"/>
      <c r="F10" s="151"/>
      <c r="G10" s="151"/>
      <c r="H10" s="152"/>
      <c r="I10" s="150"/>
      <c r="J10" s="150"/>
      <c r="K10" s="150"/>
      <c r="L10" s="150"/>
      <c r="M10" s="150"/>
      <c r="N10" s="150"/>
      <c r="O10" s="150"/>
    </row>
    <row r="11" spans="1:15">
      <c r="A11" s="148"/>
      <c r="B11" s="152"/>
      <c r="C11" s="150"/>
      <c r="D11" s="150"/>
      <c r="E11" s="151"/>
      <c r="F11" s="151"/>
      <c r="G11" s="151">
        <f t="shared" ref="G11:G12" si="0">E11*F11</f>
        <v>0</v>
      </c>
      <c r="H11" s="152"/>
      <c r="I11" s="150"/>
      <c r="J11" s="150"/>
      <c r="K11" s="150"/>
      <c r="L11" s="150"/>
      <c r="M11" s="150"/>
      <c r="N11" s="150"/>
      <c r="O11" s="150"/>
    </row>
    <row r="12" spans="1:15">
      <c r="A12" s="148"/>
      <c r="B12" s="152"/>
      <c r="C12" s="150"/>
      <c r="D12" s="150"/>
      <c r="E12" s="151"/>
      <c r="F12" s="151"/>
      <c r="G12" s="151">
        <f t="shared" si="0"/>
        <v>0</v>
      </c>
      <c r="H12" s="152"/>
      <c r="I12" s="150"/>
      <c r="J12" s="150"/>
      <c r="K12" s="150"/>
      <c r="L12" s="150"/>
      <c r="M12" s="150"/>
      <c r="N12" s="150"/>
      <c r="O12" s="150"/>
    </row>
    <row r="13" spans="1:15">
      <c r="A13" s="148"/>
      <c r="B13" s="149" t="s">
        <v>40</v>
      </c>
      <c r="C13" s="150"/>
      <c r="D13" s="150"/>
      <c r="E13" s="151"/>
      <c r="F13" s="151"/>
      <c r="G13" s="151"/>
      <c r="H13" s="152"/>
      <c r="I13" s="150"/>
      <c r="J13" s="150"/>
      <c r="K13" s="150"/>
      <c r="L13" s="150"/>
      <c r="M13" s="150"/>
      <c r="N13" s="150"/>
      <c r="O13" s="150"/>
    </row>
    <row r="14" spans="1:15">
      <c r="A14" s="148"/>
      <c r="B14" s="152"/>
      <c r="C14" s="150"/>
      <c r="D14" s="150"/>
      <c r="E14" s="151"/>
      <c r="F14" s="151"/>
      <c r="G14" s="151">
        <f t="shared" ref="G14:G15" si="1">E14*F14</f>
        <v>0</v>
      </c>
      <c r="H14" s="152"/>
      <c r="I14" s="150"/>
      <c r="J14" s="150"/>
      <c r="K14" s="150"/>
      <c r="L14" s="150"/>
      <c r="M14" s="150"/>
      <c r="N14" s="150"/>
      <c r="O14" s="150"/>
    </row>
    <row r="15" spans="1:15">
      <c r="A15" s="148"/>
      <c r="B15" s="152"/>
      <c r="C15" s="150"/>
      <c r="D15" s="150"/>
      <c r="E15" s="151"/>
      <c r="F15" s="151"/>
      <c r="G15" s="151">
        <f t="shared" si="1"/>
        <v>0</v>
      </c>
      <c r="H15" s="152"/>
      <c r="I15" s="150"/>
      <c r="J15" s="150"/>
      <c r="K15" s="150"/>
      <c r="L15" s="150"/>
      <c r="M15" s="150"/>
      <c r="N15" s="150"/>
      <c r="O15" s="150"/>
    </row>
    <row r="16" spans="1:15">
      <c r="A16" s="148"/>
      <c r="B16" s="152"/>
      <c r="C16" s="150"/>
      <c r="D16" s="150"/>
      <c r="E16" s="151"/>
      <c r="F16" s="151"/>
      <c r="G16" s="151"/>
      <c r="H16" s="152"/>
      <c r="I16" s="150"/>
      <c r="J16" s="150"/>
      <c r="K16" s="150"/>
      <c r="L16" s="150"/>
      <c r="M16" s="150"/>
      <c r="N16" s="150"/>
      <c r="O16" s="150"/>
    </row>
    <row r="18" spans="1:16" s="157" customFormat="1" ht="15.75">
      <c r="A18" s="153" t="s">
        <v>149</v>
      </c>
      <c r="B18" s="120"/>
      <c r="C18" s="154"/>
      <c r="D18" s="154"/>
      <c r="E18" s="155"/>
      <c r="F18" s="155"/>
      <c r="G18" s="155"/>
      <c r="H18" s="123"/>
      <c r="I18" s="156"/>
      <c r="J18" s="154"/>
      <c r="K18" s="156"/>
      <c r="L18" s="156"/>
      <c r="M18" s="154"/>
      <c r="N18" s="154"/>
      <c r="O18" s="156"/>
      <c r="P18" s="123"/>
    </row>
    <row r="19" spans="1:16" s="140" customFormat="1">
      <c r="A19" s="158"/>
      <c r="B19" s="89"/>
      <c r="C19" s="159"/>
      <c r="D19" s="159"/>
      <c r="E19" s="160"/>
      <c r="F19" s="160"/>
      <c r="G19" s="160"/>
      <c r="H19" s="161"/>
      <c r="I19" s="141"/>
      <c r="J19" s="162"/>
      <c r="K19" s="141"/>
      <c r="L19" s="141"/>
      <c r="M19" s="162"/>
      <c r="N19" s="162"/>
      <c r="O19" s="141"/>
      <c r="P19" s="163"/>
    </row>
    <row r="20" spans="1:16">
      <c r="B20" s="89"/>
      <c r="C20" s="164"/>
      <c r="D20" s="164"/>
      <c r="E20" s="165"/>
      <c r="F20" s="165"/>
      <c r="G20" s="165"/>
      <c r="H20" s="92"/>
      <c r="J20" s="164"/>
      <c r="M20" s="164"/>
      <c r="N20" s="164"/>
      <c r="P20" s="92"/>
    </row>
    <row r="21" spans="1:16">
      <c r="B21" s="89"/>
      <c r="C21" s="164"/>
      <c r="D21" s="164"/>
      <c r="E21" s="165"/>
      <c r="F21" s="165"/>
      <c r="G21" s="165"/>
      <c r="H21" s="92"/>
      <c r="J21" s="164"/>
      <c r="M21" s="164"/>
      <c r="N21" s="164"/>
      <c r="P21" s="92"/>
    </row>
  </sheetData>
  <mergeCells count="9">
    <mergeCell ref="L1:O1"/>
    <mergeCell ref="I5:O5"/>
    <mergeCell ref="A3:O3"/>
    <mergeCell ref="A2:O2"/>
    <mergeCell ref="H5:H6"/>
    <mergeCell ref="C5:C6"/>
    <mergeCell ref="B5:B6"/>
    <mergeCell ref="A5:A6"/>
    <mergeCell ref="G5:G6"/>
  </mergeCells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headerFooter>
    <oddFooter>&amp;R&amp;"TH Sarabun New,Italic"&amp;14&amp;K09-024(ฉบับเดือน พฤษภาคม 2568)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DC76-92A0-4972-BAA7-DE3F7E520CCA}">
  <sheetPr>
    <pageSetUpPr fitToPage="1"/>
  </sheetPr>
  <dimension ref="A1:G38"/>
  <sheetViews>
    <sheetView view="pageLayout" zoomScale="115" zoomScaleNormal="100" zoomScaleSheetLayoutView="100" zoomScalePageLayoutView="115" workbookViewId="0">
      <selection activeCell="C13" sqref="C13"/>
    </sheetView>
  </sheetViews>
  <sheetFormatPr defaultColWidth="8.85546875" defaultRowHeight="18.75"/>
  <cols>
    <col min="1" max="1" width="7.140625" style="166" bestFit="1" customWidth="1"/>
    <col min="2" max="2" width="39.28515625" style="167" customWidth="1"/>
    <col min="3" max="3" width="8" style="168" customWidth="1"/>
    <col min="4" max="4" width="7.85546875" style="168" customWidth="1"/>
    <col min="5" max="5" width="11.140625" style="166" customWidth="1"/>
    <col min="6" max="6" width="13.85546875" style="166" customWidth="1"/>
    <col min="7" max="7" width="27.140625" style="166" customWidth="1"/>
    <col min="8" max="16384" width="8.85546875" style="170"/>
  </cols>
  <sheetData>
    <row r="1" spans="1:7">
      <c r="G1" s="169" t="s">
        <v>115</v>
      </c>
    </row>
    <row r="2" spans="1:7" s="171" customFormat="1" ht="21">
      <c r="A2" s="216" t="s">
        <v>116</v>
      </c>
      <c r="B2" s="216"/>
      <c r="C2" s="216"/>
      <c r="D2" s="216"/>
      <c r="E2" s="216"/>
      <c r="F2" s="216"/>
      <c r="G2" s="216"/>
    </row>
    <row r="3" spans="1:7" s="171" customFormat="1" ht="21">
      <c r="A3" s="216" t="s">
        <v>42</v>
      </c>
      <c r="B3" s="216"/>
      <c r="C3" s="216"/>
      <c r="D3" s="216"/>
      <c r="E3" s="216"/>
      <c r="F3" s="216"/>
      <c r="G3" s="216"/>
    </row>
    <row r="4" spans="1:7" s="171" customFormat="1" ht="21">
      <c r="A4" s="216" t="s">
        <v>121</v>
      </c>
      <c r="B4" s="216"/>
      <c r="C4" s="216"/>
      <c r="D4" s="216"/>
      <c r="E4" s="216"/>
      <c r="F4" s="216"/>
      <c r="G4" s="216"/>
    </row>
    <row r="5" spans="1:7" s="171" customFormat="1">
      <c r="A5" s="172"/>
      <c r="B5" s="172"/>
      <c r="C5" s="172"/>
      <c r="D5" s="172"/>
      <c r="E5" s="172"/>
      <c r="F5" s="172"/>
      <c r="G5" s="172"/>
    </row>
    <row r="6" spans="1:7" s="174" customFormat="1">
      <c r="A6" s="173" t="s">
        <v>6</v>
      </c>
      <c r="B6" s="173" t="s">
        <v>43</v>
      </c>
      <c r="C6" s="217" t="s">
        <v>1</v>
      </c>
      <c r="D6" s="217"/>
      <c r="E6" s="173" t="s">
        <v>44</v>
      </c>
      <c r="F6" s="173" t="s">
        <v>45</v>
      </c>
      <c r="G6" s="173" t="s">
        <v>46</v>
      </c>
    </row>
    <row r="7" spans="1:7">
      <c r="A7" s="175">
        <v>1</v>
      </c>
      <c r="B7" s="213" t="s">
        <v>47</v>
      </c>
      <c r="C7" s="214"/>
      <c r="D7" s="214"/>
      <c r="E7" s="214"/>
      <c r="F7" s="214"/>
      <c r="G7" s="215"/>
    </row>
    <row r="8" spans="1:7">
      <c r="A8" s="176"/>
      <c r="B8" s="177"/>
      <c r="C8" s="178"/>
      <c r="D8" s="179"/>
      <c r="E8" s="176"/>
      <c r="F8" s="176"/>
      <c r="G8" s="176"/>
    </row>
    <row r="9" spans="1:7">
      <c r="A9" s="176"/>
      <c r="B9" s="177"/>
      <c r="C9" s="178"/>
      <c r="D9" s="179"/>
      <c r="E9" s="176"/>
      <c r="F9" s="176"/>
      <c r="G9" s="176"/>
    </row>
    <row r="10" spans="1:7">
      <c r="A10" s="176"/>
      <c r="B10" s="180"/>
      <c r="C10" s="178"/>
      <c r="D10" s="179"/>
      <c r="E10" s="176"/>
      <c r="F10" s="176"/>
      <c r="G10" s="176"/>
    </row>
    <row r="11" spans="1:7">
      <c r="A11" s="175">
        <v>2</v>
      </c>
      <c r="B11" s="213" t="s">
        <v>48</v>
      </c>
      <c r="C11" s="214"/>
      <c r="D11" s="214"/>
      <c r="E11" s="214"/>
      <c r="F11" s="214"/>
      <c r="G11" s="215"/>
    </row>
    <row r="12" spans="1:7">
      <c r="A12" s="176"/>
      <c r="B12" s="177"/>
      <c r="C12" s="178"/>
      <c r="D12" s="179"/>
      <c r="E12" s="176"/>
      <c r="F12" s="176"/>
      <c r="G12" s="176"/>
    </row>
    <row r="13" spans="1:7">
      <c r="A13" s="176"/>
      <c r="B13" s="181"/>
      <c r="C13" s="178"/>
      <c r="D13" s="179"/>
      <c r="E13" s="176"/>
      <c r="F13" s="176"/>
      <c r="G13" s="176"/>
    </row>
    <row r="14" spans="1:7">
      <c r="A14" s="176"/>
      <c r="B14" s="177"/>
      <c r="C14" s="178"/>
      <c r="D14" s="179"/>
      <c r="E14" s="176"/>
      <c r="F14" s="176"/>
      <c r="G14" s="176"/>
    </row>
    <row r="15" spans="1:7">
      <c r="A15" s="175">
        <v>3</v>
      </c>
      <c r="B15" s="213" t="s">
        <v>49</v>
      </c>
      <c r="C15" s="214"/>
      <c r="D15" s="214"/>
      <c r="E15" s="214"/>
      <c r="F15" s="214"/>
      <c r="G15" s="215"/>
    </row>
    <row r="16" spans="1:7">
      <c r="A16" s="176"/>
      <c r="B16" s="177"/>
      <c r="C16" s="178"/>
      <c r="D16" s="179"/>
      <c r="E16" s="176"/>
      <c r="F16" s="176"/>
      <c r="G16" s="176"/>
    </row>
    <row r="17" spans="1:7">
      <c r="A17" s="176"/>
      <c r="B17" s="177"/>
      <c r="C17" s="178"/>
      <c r="D17" s="179"/>
      <c r="E17" s="176"/>
      <c r="F17" s="176"/>
      <c r="G17" s="176"/>
    </row>
    <row r="18" spans="1:7">
      <c r="A18" s="175">
        <v>4</v>
      </c>
      <c r="B18" s="213" t="s">
        <v>50</v>
      </c>
      <c r="C18" s="214"/>
      <c r="D18" s="214"/>
      <c r="E18" s="214"/>
      <c r="F18" s="214"/>
      <c r="G18" s="215"/>
    </row>
    <row r="19" spans="1:7">
      <c r="A19" s="176"/>
      <c r="B19" s="180"/>
      <c r="C19" s="178"/>
      <c r="D19" s="179"/>
      <c r="E19" s="176"/>
      <c r="F19" s="176"/>
      <c r="G19" s="176"/>
    </row>
    <row r="20" spans="1:7">
      <c r="A20" s="176"/>
      <c r="B20" s="177"/>
      <c r="C20" s="178"/>
      <c r="D20" s="179"/>
      <c r="E20" s="176"/>
      <c r="F20" s="176"/>
      <c r="G20" s="176"/>
    </row>
    <row r="21" spans="1:7">
      <c r="A21" s="175">
        <v>6</v>
      </c>
      <c r="B21" s="213" t="s">
        <v>51</v>
      </c>
      <c r="C21" s="214"/>
      <c r="D21" s="214"/>
      <c r="E21" s="214"/>
      <c r="F21" s="214"/>
      <c r="G21" s="215"/>
    </row>
    <row r="22" spans="1:7">
      <c r="A22" s="176"/>
      <c r="B22" s="177"/>
      <c r="C22" s="178"/>
      <c r="D22" s="179"/>
      <c r="E22" s="176"/>
      <c r="F22" s="176"/>
      <c r="G22" s="176"/>
    </row>
    <row r="23" spans="1:7">
      <c r="A23" s="176"/>
      <c r="B23" s="177"/>
      <c r="C23" s="178"/>
      <c r="D23" s="179"/>
      <c r="E23" s="176"/>
      <c r="F23" s="176"/>
      <c r="G23" s="176"/>
    </row>
    <row r="24" spans="1:7">
      <c r="A24" s="175">
        <v>7</v>
      </c>
      <c r="B24" s="213" t="s">
        <v>52</v>
      </c>
      <c r="C24" s="214"/>
      <c r="D24" s="214"/>
      <c r="E24" s="214"/>
      <c r="F24" s="214"/>
      <c r="G24" s="215"/>
    </row>
    <row r="25" spans="1:7">
      <c r="A25" s="176"/>
      <c r="B25" s="177"/>
      <c r="C25" s="178"/>
      <c r="D25" s="179"/>
      <c r="E25" s="176"/>
      <c r="F25" s="176"/>
      <c r="G25" s="176"/>
    </row>
    <row r="26" spans="1:7">
      <c r="A26" s="176"/>
      <c r="B26" s="177"/>
      <c r="C26" s="178"/>
      <c r="D26" s="179"/>
      <c r="E26" s="176"/>
      <c r="F26" s="176"/>
      <c r="G26" s="176"/>
    </row>
    <row r="27" spans="1:7">
      <c r="A27" s="175">
        <v>8</v>
      </c>
      <c r="B27" s="213" t="s">
        <v>53</v>
      </c>
      <c r="C27" s="214"/>
      <c r="D27" s="214"/>
      <c r="E27" s="214"/>
      <c r="F27" s="214"/>
      <c r="G27" s="215"/>
    </row>
    <row r="28" spans="1:7">
      <c r="A28" s="176"/>
      <c r="B28" s="177"/>
      <c r="C28" s="178"/>
      <c r="D28" s="179"/>
      <c r="E28" s="176"/>
      <c r="F28" s="176"/>
      <c r="G28" s="182"/>
    </row>
    <row r="29" spans="1:7">
      <c r="A29" s="176"/>
      <c r="B29" s="177"/>
      <c r="C29" s="178"/>
      <c r="D29" s="179"/>
      <c r="E29" s="176"/>
      <c r="F29" s="176"/>
      <c r="G29" s="176"/>
    </row>
    <row r="30" spans="1:7">
      <c r="A30" s="175">
        <v>9</v>
      </c>
      <c r="B30" s="212" t="s">
        <v>54</v>
      </c>
      <c r="C30" s="212"/>
      <c r="D30" s="212"/>
      <c r="E30" s="212"/>
      <c r="F30" s="212"/>
      <c r="G30" s="212"/>
    </row>
    <row r="31" spans="1:7">
      <c r="A31" s="176"/>
      <c r="B31" s="177"/>
      <c r="C31" s="178"/>
      <c r="D31" s="179"/>
      <c r="E31" s="176"/>
      <c r="F31" s="176"/>
      <c r="G31" s="182"/>
    </row>
    <row r="32" spans="1:7">
      <c r="A32" s="176"/>
      <c r="B32" s="177"/>
      <c r="C32" s="178"/>
      <c r="D32" s="179"/>
      <c r="E32" s="176"/>
      <c r="F32" s="176"/>
      <c r="G32" s="176"/>
    </row>
    <row r="33" spans="1:7">
      <c r="A33" s="175">
        <v>10</v>
      </c>
      <c r="B33" s="212" t="s">
        <v>55</v>
      </c>
      <c r="C33" s="212"/>
      <c r="D33" s="212"/>
      <c r="E33" s="212"/>
      <c r="F33" s="212"/>
      <c r="G33" s="212"/>
    </row>
    <row r="34" spans="1:7">
      <c r="A34" s="176"/>
      <c r="B34" s="177"/>
      <c r="C34" s="178"/>
      <c r="D34" s="179"/>
      <c r="E34" s="176"/>
      <c r="F34" s="176"/>
      <c r="G34" s="182"/>
    </row>
    <row r="35" spans="1:7">
      <c r="A35" s="176"/>
      <c r="B35" s="177"/>
      <c r="C35" s="178"/>
      <c r="D35" s="179"/>
      <c r="E35" s="176"/>
      <c r="F35" s="176"/>
      <c r="G35" s="176"/>
    </row>
    <row r="36" spans="1:7">
      <c r="A36" s="175">
        <v>11</v>
      </c>
      <c r="B36" s="212" t="s">
        <v>56</v>
      </c>
      <c r="C36" s="212"/>
      <c r="D36" s="212"/>
      <c r="E36" s="212"/>
      <c r="F36" s="212"/>
      <c r="G36" s="212"/>
    </row>
    <row r="37" spans="1:7">
      <c r="A37" s="176"/>
      <c r="B37" s="177"/>
      <c r="C37" s="178"/>
      <c r="D37" s="179"/>
      <c r="E37" s="176"/>
      <c r="F37" s="176"/>
      <c r="G37" s="182"/>
    </row>
    <row r="38" spans="1:7">
      <c r="A38" s="176"/>
      <c r="B38" s="177"/>
      <c r="C38" s="178"/>
      <c r="D38" s="179"/>
      <c r="E38" s="176"/>
      <c r="F38" s="176"/>
      <c r="G38" s="176"/>
    </row>
  </sheetData>
  <mergeCells count="14">
    <mergeCell ref="B11:G11"/>
    <mergeCell ref="A2:G2"/>
    <mergeCell ref="A3:G3"/>
    <mergeCell ref="A4:G4"/>
    <mergeCell ref="C6:D6"/>
    <mergeCell ref="B7:G7"/>
    <mergeCell ref="B33:G33"/>
    <mergeCell ref="B36:G36"/>
    <mergeCell ref="B15:G15"/>
    <mergeCell ref="B18:G18"/>
    <mergeCell ref="B21:G21"/>
    <mergeCell ref="B24:G24"/>
    <mergeCell ref="B27:G27"/>
    <mergeCell ref="B30:G30"/>
  </mergeCells>
  <printOptions horizontalCentered="1"/>
  <pageMargins left="0.16" right="0.16" top="0.31" bottom="0.54374999999999996" header="0.18" footer="0.16"/>
  <pageSetup paperSize="9" scale="83" fitToHeight="0" orientation="portrait" r:id="rId1"/>
  <headerFooter differentFirst="1">
    <oddHeader>&amp;C&amp;"TH SarabunIT๙,Regular"&amp;16- &amp;P -</oddHeader>
    <firstFooter>&amp;R&amp;"TH Sarabun New,Italic"&amp;14&amp;K09-024(ฉบับเดือน พฤษภาคม 2568)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ส่วน 1 สรุปโครงการ</vt:lpstr>
      <vt:lpstr>ส่วน 2 รายการที่ไม่อยู่ในเกณฑ์</vt:lpstr>
      <vt:lpstr>ส่วน 3 รายละเอียดบุคลากร</vt:lpstr>
      <vt:lpstr>ส่วน 4 รายละเอียดการทดแทน</vt:lpstr>
      <vt:lpstr>'ส่วน 1 สรุปโครงการ'!Print_Area</vt:lpstr>
      <vt:lpstr>'ส่วน 2 รายการที่ไม่อยู่ในเกณฑ์'!Print_Area</vt:lpstr>
      <vt:lpstr>'ส่วน 3 รายละเอียดบุคลากร'!Print_Area</vt:lpstr>
      <vt:lpstr>'ส่วน 4 รายละเอียดการทดแทน'!Print_Area</vt:lpstr>
      <vt:lpstr>'ส่วน 1 สรุปโครงการ'!Print_Titles</vt:lpstr>
      <vt:lpstr>'ส่วน 2 รายการที่ไม่อยู่ในเกณฑ์'!Print_Titles</vt:lpstr>
      <vt:lpstr>'ส่วน 3 รายละเอียดบุคลากร'!Print_Titles</vt:lpstr>
      <vt:lpstr>'ส่วน 4 รายละเอียดการทดแทน'!Print_Titles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Guntapich Anantasak</cp:lastModifiedBy>
  <cp:lastPrinted>2025-05-23T02:58:43Z</cp:lastPrinted>
  <dcterms:created xsi:type="dcterms:W3CDTF">2020-12-17T07:58:27Z</dcterms:created>
  <dcterms:modified xsi:type="dcterms:W3CDTF">2026-04-30T01:31:14Z</dcterms:modified>
</cp:coreProperties>
</file>